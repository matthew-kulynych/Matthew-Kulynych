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3c6033c736819bc/Documents/Advanced Sports Analytics/"/>
    </mc:Choice>
  </mc:AlternateContent>
  <xr:revisionPtr revIDLastSave="115" documentId="8_{306A6A67-1166-4F61-A2FF-1721A454D28A}" xr6:coauthVersionLast="47" xr6:coauthVersionMax="47" xr10:uidLastSave="{4B5D50F2-CD0C-412C-AAC2-A419DE8BDEF1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solver_adj" localSheetId="0" hidden="1">Sheet1!$D$7:$D$8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Sheet1!$B$12</definedName>
    <definedName name="solver_lhs2" localSheetId="0" hidden="1">Sheet1!$E$8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25000</definedName>
    <definedName name="solver_rhs2" localSheetId="0" hidden="1">17500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FD1048550" i="1" l="1" a="1"/>
  <c r="XFD1048550" i="1" s="1"/>
  <c r="XFD1048551" i="1" a="1"/>
  <c r="XFD1048551" i="1" s="1"/>
  <c r="XFD1048552" i="1"/>
  <c r="XFD1048553" i="1"/>
  <c r="XFD1048554" i="1"/>
  <c r="XFD1048555" i="1"/>
  <c r="F7" i="1"/>
  <c r="F8" i="1" l="1"/>
  <c r="E8" i="1"/>
  <c r="E7" i="1"/>
  <c r="B11" i="1"/>
  <c r="B12" i="1" l="1"/>
  <c r="B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<sst xmlns="http://schemas.openxmlformats.org/spreadsheetml/2006/main" count="14" uniqueCount="14">
  <si>
    <r>
      <rPr>
        <b/>
        <sz val="11"/>
        <color theme="1"/>
        <rFont val="Calibri"/>
        <family val="2"/>
        <scheme val="minor"/>
      </rPr>
      <t>Objective Function:</t>
    </r>
    <r>
      <rPr>
        <sz val="11"/>
        <color theme="1"/>
        <rFont val="Calibri"/>
        <family val="2"/>
        <scheme val="minor"/>
      </rPr>
      <t xml:space="preserve"> Maximize audience exposure </t>
    </r>
  </si>
  <si>
    <r>
      <rPr>
        <b/>
        <sz val="11"/>
        <color theme="1"/>
        <rFont val="Calibri"/>
        <family val="2"/>
        <scheme val="minor"/>
      </rPr>
      <t>Decision Variables:</t>
    </r>
    <r>
      <rPr>
        <sz val="11"/>
        <color theme="1"/>
        <rFont val="Calibri"/>
        <family val="2"/>
        <scheme val="minor"/>
      </rPr>
      <t xml:space="preserve"> Television time and radio time </t>
    </r>
  </si>
  <si>
    <t xml:space="preserve">Ad Type </t>
  </si>
  <si>
    <t xml:space="preserve">Radio </t>
  </si>
  <si>
    <t>Television</t>
  </si>
  <si>
    <t xml:space="preserve">Exposure per Minute </t>
  </si>
  <si>
    <t xml:space="preserve">Cost per Minute </t>
  </si>
  <si>
    <t xml:space="preserve">Total Time Spent </t>
  </si>
  <si>
    <t xml:space="preserve">Cost </t>
  </si>
  <si>
    <t xml:space="preserve">Total Cost </t>
  </si>
  <si>
    <t>Total Exposure</t>
  </si>
  <si>
    <t>Exposure</t>
  </si>
  <si>
    <t>Time Spent (Minutes)</t>
  </si>
  <si>
    <r>
      <rPr>
        <b/>
        <sz val="11"/>
        <color theme="1"/>
        <rFont val="Calibri"/>
        <family val="2"/>
        <scheme val="minor"/>
      </rPr>
      <t>Constraints:</t>
    </r>
    <r>
      <rPr>
        <sz val="11"/>
        <color theme="1"/>
        <rFont val="Calibri"/>
        <family val="2"/>
        <scheme val="minor"/>
      </rPr>
      <t xml:space="preserve"> Limited budget of $25,000 &amp; at least 70% of the cost should be allocated to television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</si>
</sst>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2" borderId="3" xfId="0" applyFill="1" applyBorder="1"/>
    <xf numFmtId="6" fontId="0" fillId="2" borderId="4" xfId="0" applyNumberFormat="1" applyFill="1" applyBorder="1"/>
    <xf numFmtId="0" fontId="0" fillId="2" borderId="5" xfId="0" applyFill="1" applyBorder="1"/>
    <xf numFmtId="6" fontId="0" fillId="2" borderId="6" xfId="0" applyNumberFormat="1" applyFill="1" applyBorder="1"/>
    <xf numFmtId="0" fontId="0" fillId="3" borderId="9" xfId="0" applyFill="1" applyBorder="1"/>
    <xf numFmtId="0" fontId="0" fillId="3" borderId="11" xfId="0" applyFill="1" applyBorder="1"/>
    <xf numFmtId="6" fontId="0" fillId="4" borderId="7" xfId="0" applyNumberFormat="1" applyFill="1" applyBorder="1"/>
    <xf numFmtId="0" fontId="0" fillId="4" borderId="2" xfId="0" applyFill="1" applyBorder="1"/>
    <xf numFmtId="6" fontId="0" fillId="4" borderId="8" xfId="0" applyNumberFormat="1" applyFill="1" applyBorder="1"/>
    <xf numFmtId="0" fontId="0" fillId="4" borderId="6" xfId="0" applyFill="1" applyBorder="1"/>
    <xf numFmtId="0" fontId="0" fillId="5" borderId="9" xfId="0" applyFill="1" applyBorder="1"/>
    <xf numFmtId="0" fontId="0" fillId="5" borderId="10" xfId="0" applyFill="1" applyBorder="1"/>
    <xf numFmtId="6" fontId="0" fillId="5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F5D9F8-6456-4EC8-A360-AC7B2DDB3FFA}">
  <we:reference id="wa104100404" version="3.0.0.1" store="en-US" storeType="OMEX"/>
  <we:alternateReferences>
    <we:reference id="wa104100404" version="3.0.0.1" store="WA104100404" storeType="OMEX"/>
  </we:alternateReferences>
  <we:properties>
    <we:property name="BlZe" value="&quot;&quot;"/>
    <we:property name="GUZbBhI5TEs1HE9DFAcvHSw7a0YHC2g=" value="&quot;aQoJQg==&quot;"/>
    <we:property name="GUZbBhI5TEs1HE9DFAcvHSw7a0YHC2s=" value="&quot;aQgJQg==&quot;"/>
    <we:property name="GUZbBhI5TEs1HE9DFAcvHSw7a0YKFGg=" value="&quot;eQ==&quot;"/>
    <we:property name="GUZbBhI5TEs1HE9DFAcvHSw7a0YKFGs=" value="&quot;bXYQU1ZgHClcRAI=&quot;"/>
    <we:property name="GUZbBhI5TEs1HE9DFAcvHSw7a1EMAA==" value="&quot;eQ==&quot;"/>
    <we:property name="GUZbBhI5TEs1HE9DFAcvHSw7a1gKFGg=" value="&quot;bXAQW11+fk9B&quot;"/>
    <we:property name="GUZbBhI5TEs1HE9DFAcvHSw7a1gKFGs=" value="&quot;bXcQU1ZgHChcRAI=&quot;"/>
    <we:property name="GUZbBhI5TEs1HE9DFAcvHSw7a1oHAA==" value="&quot;eA==&quot;"/>
    <we:property name="GUZbBhI5TEs1HE9DFAcvHSw7a1oXCg==" value="&quot;ew==&quot;"/>
    <we:property name="GUZbBhI5TEs1HE9DKAop" value="&quot;bXAQU18=&quot;"/>
    <we:property name="GUZbBhI5TEs1HE9DKgk7JiAn" value="&quot;eA==&quot;"/>
    <we:property name="GUZbBhI5TEs1HE9DMQkxAigrWFER" value="&quot;bXAQW11+fk9B&quot;"/>
    <we:property name="GlxRBxNrGRgXGUEHFTcmBS4=" value="&quot;BWQ=&quot;"/>
    <we:property name="GlxRBxNrGRgXGUEHFTctDi4=" value="&quot;eA==&quot;"/>
    <we:property name="GlxRBxNrGRgXGUEHFTctHiQ=" value="&quot;ew==&quot;"/>
    <we:property name="GlxRBxNrGRgXGUEHFTcvAzp4" value="&quot;bXYQU1U=&quot;"/>
    <we:property name="GlxRBxNrGRgXGUEHFTcvAzp6" value="&quot;&quot;"/>
    <we:property name="GlxRBxNrGRgXGUEHFTcvAzp7" value="&quot;bXEQWg==&quot;"/>
    <we:property name="GlxRBxNrGRgXGUEHFTcvAzp8" value="&quot;&quot;"/>
    <we:property name="GlxRBxNrGRgXGUEHFTcvAzp9" value="&quot;&quot;"/>
    <we:property name="GlxRBxNrGRgXGUEHFTcxAzp4" value="&quot;ewEEUlc=&quot;"/>
    <we:property name="GlxRBxNrGRgXGUEHFTcxAzp6" value="&quot;&quot;"/>
    <we:property name="GlxRBxNrGRgXGUEHFTcxAzp7" value="&quot;eAMBUlc=&quot;"/>
    <we:property name="GlxRBxNrGRgXGUEHFTcxAzp8" value="&quot;&quot;"/>
    <we:property name="GlxRBxNrGRgXGUEHFTcxAzp9" value="&quot;&quot;"/>
    <we:property name="GlxRBxNrGRgXGUEHFTcxDiV4" value="&quot;aQgJQg==&quot;"/>
    <we:property name="GlxRBxNrGRgXGUEHFTcxDiV6" value="&quot;aQgJQg==&quot;"/>
    <we:property name="GlxRBxNrGRgXGUEHFTcxDiV7" value="&quot;aQoJQg==&quot;"/>
    <we:property name="GlxRBxNrGRgXGUEHFTcxDiV8" value="&quot;aQgJQg==&quot;"/>
    <we:property name="GlxRBxNrGRgXGUEHFTcxDiV9" value="&quot;aQgJQg==&quot;"/>
    <we:property name="GlxRBxNrGSQaHw==" value="&quot;bXYQU1c=&quot;"/>
    <we:property name="GlxRBxNrGSYZDXoLCQ==" value="&quot;eA==&quot;"/>
    <we:property name="GlxRBxNrGT0ZB14DBQQmGA==" value="&quot;bXAQWg==&quot;"/>
    <we:property name="GlxRBxNrGT0ZB14DBQQmGHg=" value="&quot;bXAQVQ==&quot;"/>
    <we:property name="GlxRBxNrGT0ZB14DBQQmGHs=" value="&quot;&quot;"/>
    <we:property name="UniqueID" value="&quot;202410141731606577751&quot;"/>
  </we:properties>
  <we:bindings>
    <we:binding id="Var$D$9:$F$9" type="matrix" appref="{62996839-F0E2-4E48-9456-A33A43494F12}"/>
    <we:binding id="Sheet1refEdit" type="matrix" appref="{2DA5CB65-E3D9-4061-B3EF-25A1D10F82E6}"/>
    <we:binding id="Sheet1Worker" type="matrix" appref="{63A328AF-43E0-4B85-B84F-EB8F38391517}"/>
    <we:binding id="refEdit" type="matrix" appref="{3172E605-4D33-48B0-A33B-7A094C725D88}"/>
    <we:binding id="Worker" type="matrix" appref="{6BC7790C-DEA6-4496-A5BC-50BBE3761F21}"/>
    <we:binding id="1Var0" type="matrix" appref="{9CE47296-3219-44E7-9564-ED2943A311EC}"/>
    <we:binding id="2Var0" type="matrix" appref="{4547B12B-5D04-4E9F-A95B-CFA210E0C3EB}"/>
    <we:binding id="Obj" type="matrix" appref="{59F72B5F-1957-49C0-A1D9-F530452C08A7}"/>
    <we:binding id="Var$D$8" type="matrix" appref="{5DD90D98-337D-4C79-8A2D-9923AF192893}"/>
    <we:binding id="Var$D$7" type="matrix" appref="{41C95770-8D22-479B-BC47-8ECA61498338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1048555"/>
  <sheetViews>
    <sheetView tabSelected="1" workbookViewId="0">
      <selection activeCell="B12" sqref="B12"/>
    </sheetView>
  </sheetViews>
  <sheetFormatPr defaultRowHeight="14.4" x14ac:dyDescent="0.3"/>
  <cols>
    <col min="1" max="1" width="16.44140625" customWidth="1"/>
    <col min="2" max="2" width="20.44140625" customWidth="1"/>
    <col min="3" max="3" width="15.5546875" customWidth="1"/>
    <col min="4" max="4" width="20.109375" customWidth="1"/>
  </cols>
  <sheetData>
    <row r="2" spans="1:6" x14ac:dyDescent="0.3">
      <c r="A2" t="s">
        <v>0</v>
      </c>
    </row>
    <row r="3" spans="1:6" x14ac:dyDescent="0.3">
      <c r="A3" t="s">
        <v>1</v>
      </c>
    </row>
    <row r="4" spans="1:6" x14ac:dyDescent="0.3">
      <c r="A4" t="s">
        <v>13</v>
      </c>
    </row>
    <row r="5" spans="1:6" ht="15" thickBot="1" x14ac:dyDescent="0.35"/>
    <row r="6" spans="1:6" s="1" customFormat="1" ht="15" thickBot="1" x14ac:dyDescent="0.35">
      <c r="A6" s="5" t="s">
        <v>2</v>
      </c>
      <c r="B6" s="6" t="s">
        <v>5</v>
      </c>
      <c r="C6" s="7" t="s">
        <v>6</v>
      </c>
      <c r="D6" s="5" t="s">
        <v>12</v>
      </c>
      <c r="E6" s="8" t="s">
        <v>8</v>
      </c>
      <c r="F6" s="7" t="s">
        <v>11</v>
      </c>
    </row>
    <row r="7" spans="1:6" x14ac:dyDescent="0.3">
      <c r="A7" s="3" t="s">
        <v>3</v>
      </c>
      <c r="B7" s="9">
        <v>350</v>
      </c>
      <c r="C7" s="10">
        <v>400</v>
      </c>
      <c r="D7" s="13">
        <v>0</v>
      </c>
      <c r="E7" s="15">
        <f>C7*D7</f>
        <v>0</v>
      </c>
      <c r="F7" s="16">
        <f>B7*D7</f>
        <v>0</v>
      </c>
    </row>
    <row r="8" spans="1:6" ht="15" thickBot="1" x14ac:dyDescent="0.35">
      <c r="A8" s="4" t="s">
        <v>4</v>
      </c>
      <c r="B8" s="11">
        <v>800</v>
      </c>
      <c r="C8" s="12">
        <v>800</v>
      </c>
      <c r="D8" s="14">
        <v>31.25</v>
      </c>
      <c r="E8" s="17">
        <f>C8*D8</f>
        <v>25000</v>
      </c>
      <c r="F8" s="18">
        <f>B8*D8</f>
        <v>25000</v>
      </c>
    </row>
    <row r="9" spans="1:6" ht="15" thickBot="1" x14ac:dyDescent="0.35"/>
    <row r="10" spans="1:6" x14ac:dyDescent="0.3">
      <c r="A10" s="2" t="s">
        <v>10</v>
      </c>
      <c r="B10" s="19">
        <f>SUM(F7:F8)</f>
        <v>25000</v>
      </c>
    </row>
    <row r="11" spans="1:6" x14ac:dyDescent="0.3">
      <c r="A11" s="3" t="s">
        <v>7</v>
      </c>
      <c r="B11" s="20">
        <f>SUM(D7:D8)</f>
        <v>31.25</v>
      </c>
    </row>
    <row r="12" spans="1:6" ht="15" thickBot="1" x14ac:dyDescent="0.35">
      <c r="A12" s="4" t="s">
        <v>9</v>
      </c>
      <c r="B12" s="21">
        <f>SUM(E7:E8)</f>
        <v>25000</v>
      </c>
    </row>
    <row r="1048550" spans="16384:16384" x14ac:dyDescent="0.3">
      <c r="XFD1048550" t="e" cm="1" vm="1">
        <f t="array" aca="1" ref="XFD1048550" ca="1">ROW(INDEX(solver_adj,0,0,1))</f>
        <v>#VALUE!</v>
      </c>
    </row>
    <row r="1048551" spans="16384:16384" x14ac:dyDescent="0.3">
      <c r="XFD1048551" cm="1">
        <f t="array" ref="XFD1048551">COLUMN(INDEX(solver_adj,0,0,1))</f>
        <v>4</v>
      </c>
    </row>
    <row r="1048552" spans="16384:16384" x14ac:dyDescent="0.3">
      <c r="XFD1048552">
        <f>ROWS(INDEX(solver_adj,0,0,1))</f>
        <v>2</v>
      </c>
    </row>
    <row r="1048553" spans="16384:16384" x14ac:dyDescent="0.3">
      <c r="XFD1048553">
        <f>COLUMNS(INDEX(solver_adj,0,0,1))</f>
        <v>1</v>
      </c>
    </row>
    <row r="1048554" spans="16384:16384" x14ac:dyDescent="0.3">
      <c r="XFD1048554">
        <f>solver_eng</f>
        <v>2</v>
      </c>
    </row>
    <row r="1048555" spans="16384:16384" x14ac:dyDescent="0.3">
      <c r="XFD1048555">
        <f>solver_val</f>
        <v>0</v>
      </c>
    </row>
  </sheetData>
  <dataConsolidate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62996839-F0E2-4E48-9456-A33A43494F12}">
          <xm:f>#REF!</xm:f>
        </x15:webExtension>
        <x15:webExtension appRef="{2DA5CB65-E3D9-4061-B3EF-25A1D10F82E6}">
          <xm:f>Sheet1!1:1048576</xm:f>
        </x15:webExtension>
        <x15:webExtension appRef="{63A328AF-43E0-4B85-B84F-EB8F38391517}">
          <xm:f>Sheet1!XFD1048550:XFD1048575</xm:f>
        </x15:webExtension>
        <x15:webExtension appRef="{3172E605-4D33-48B0-A33B-7A094C725D88}">
          <xm:f>Sheet1!1:1048576</xm:f>
        </x15:webExtension>
        <x15:webExtension appRef="{6BC7790C-DEA6-4496-A5BC-50BBE3761F21}">
          <xm:f>Sheet1!XFD1048550:XFD1048575</xm:f>
        </x15:webExtension>
        <x15:webExtension appRef="{9CE47296-3219-44E7-9564-ED2943A311EC}">
          <xm:f>Sheet1!$D$8</xm:f>
        </x15:webExtension>
        <x15:webExtension appRef="{4547B12B-5D04-4E9F-A95B-CFA210E0C3EB}">
          <xm:f>Sheet1!D8</xm:f>
        </x15:webExtension>
        <x15:webExtension appRef="{59F72B5F-1957-49C0-A1D9-F530452C08A7}">
          <xm:f>Sheet1!$B$10</xm:f>
        </x15:webExtension>
        <x15:webExtension appRef="{5DD90D98-337D-4C79-8A2D-9923AF192893}">
          <xm:f>Sheet1!$D$8</xm:f>
        </x15:webExtension>
        <x15:webExtension appRef="{41C95770-8D22-479B-BC47-8ECA61498338}">
          <xm:f>Sheet1!$D$7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Wanless, Elizabeth</dc:creator>
  <cp:lastModifiedBy>matthew kulynych</cp:lastModifiedBy>
  <dcterms:created xsi:type="dcterms:W3CDTF">2018-06-26T19:16:17Z</dcterms:created>
  <dcterms:modified xsi:type="dcterms:W3CDTF">2025-12-03T14:54:09Z</dcterms:modified>
</cp:coreProperties>
</file>