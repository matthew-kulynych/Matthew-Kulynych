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3c6033c736819bc/Documents/Advanced Sports Analytics/"/>
    </mc:Choice>
  </mc:AlternateContent>
  <xr:revisionPtr revIDLastSave="391" documentId="8_{DEC6F18E-DDA2-49E1-BFD2-4963B51A198C}" xr6:coauthVersionLast="47" xr6:coauthVersionMax="47" xr10:uidLastSave="{550059DC-B74F-48A3-9AB8-2FA63116A41E}"/>
  <bookViews>
    <workbookView xWindow="-108" yWindow="-108" windowWidth="23256" windowHeight="13896" tabRatio="854" xr2:uid="{00000000-000D-0000-FFFF-FFFF00000000}"/>
  </bookViews>
  <sheets>
    <sheet name="Staff Scheduling" sheetId="4" r:id="rId1"/>
  </sheets>
  <definedNames>
    <definedName name="BudgetTab">#REF!</definedName>
    <definedName name="C_">#REF!</definedName>
    <definedName name="L_">#REF!</definedName>
    <definedName name="q_t_">#REF!</definedName>
    <definedName name="q0">#REF!</definedName>
    <definedName name="R_">#REF!</definedName>
    <definedName name="solver_adj" localSheetId="0" hidden="1">'Staff Scheduling'!$D$7:$D$13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'Staff Scheduling'!$F$15:$L$15</definedName>
    <definedName name="solver_lhs2" localSheetId="0" hidden="1">'Staff Scheduling'!$D$7:$D$13</definedName>
    <definedName name="solver_lhs3" localSheetId="0" hidden="1">'Staff Scheduling'!$D$7:$D$13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'Staff Scheduling'!$D$20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4</definedName>
    <definedName name="solver_rel3" localSheetId="0" hidden="1">3</definedName>
    <definedName name="solver_rhs1" localSheetId="0" hidden="1">'Staff Scheduling'!$F$17:$L$17</definedName>
    <definedName name="solver_rhs2" localSheetId="0" hidden="1">"integer"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  <definedName name="t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048550" i="4" l="1" a="1"/>
  <c r="XFD1048550" i="4" s="1"/>
  <c r="XFD1048551" i="4" a="1"/>
  <c r="XFD1048551" i="4" s="1"/>
  <c r="XFD1048552" i="4"/>
  <c r="XFD1048553" i="4"/>
  <c r="XFD1048554" i="4"/>
  <c r="XFD1048555" i="4"/>
  <c r="D15" i="4"/>
  <c r="D20" i="4" s="1"/>
  <c r="F15" i="4"/>
  <c r="G15" i="4"/>
  <c r="H15" i="4"/>
  <c r="I15" i="4"/>
  <c r="J15" i="4"/>
  <c r="K15" i="4"/>
  <c r="L1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<sst xmlns="http://schemas.openxmlformats.org/spreadsheetml/2006/main" count="35" uniqueCount="35">
  <si>
    <t>Color Coding</t>
  </si>
  <si>
    <t xml:space="preserve">   Target cell</t>
  </si>
  <si>
    <t xml:space="preserve">   Changing cells</t>
  </si>
  <si>
    <t xml:space="preserve">   Constraints</t>
  </si>
  <si>
    <t>For employees working five consecutive days with two days off, find the schedule that meets demand</t>
  </si>
  <si>
    <t>from attendance levels while minimizing payroll costs.</t>
  </si>
  <si>
    <t>Sch.</t>
  </si>
  <si>
    <t xml:space="preserve">   Days off</t>
  </si>
  <si>
    <t>Employees</t>
  </si>
  <si>
    <t>Sun</t>
  </si>
  <si>
    <t>Mon</t>
  </si>
  <si>
    <t>Tue</t>
  </si>
  <si>
    <t>Wed</t>
  </si>
  <si>
    <t>Thu</t>
  </si>
  <si>
    <t>Fri</t>
  </si>
  <si>
    <t>Sat</t>
  </si>
  <si>
    <t xml:space="preserve">  A</t>
  </si>
  <si>
    <t>Sunday, Monday</t>
  </si>
  <si>
    <t xml:space="preserve">  B</t>
  </si>
  <si>
    <t>Monday, Tuesday</t>
  </si>
  <si>
    <t xml:space="preserve">  C</t>
  </si>
  <si>
    <t>Tuesday, Wed.</t>
  </si>
  <si>
    <t xml:space="preserve">  D</t>
  </si>
  <si>
    <t>Wed., Thursday</t>
  </si>
  <si>
    <t xml:space="preserve">  E</t>
  </si>
  <si>
    <t>Thursday, Friday</t>
  </si>
  <si>
    <t xml:space="preserve">  F</t>
  </si>
  <si>
    <t>Friday, Saturday</t>
  </si>
  <si>
    <t xml:space="preserve">  G</t>
  </si>
  <si>
    <t>Saturday, Sunday</t>
  </si>
  <si>
    <t>Schedule Totals:</t>
  </si>
  <si>
    <t>Total Demand:</t>
  </si>
  <si>
    <t>Payroll/Week:</t>
  </si>
  <si>
    <t>Personnel scheduling for an Event.</t>
  </si>
  <si>
    <t>Pay/Employee/Week: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</si>
</sst>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8" x14ac:knownFonts="1">
    <font>
      <sz val="10"/>
      <name val="Arial"/>
    </font>
    <font>
      <b/>
      <sz val="10"/>
      <name val="Helv"/>
    </font>
    <font>
      <b/>
      <i/>
      <sz val="8"/>
      <name val="Helv"/>
    </font>
    <font>
      <i/>
      <sz val="8"/>
      <name val="Helv"/>
    </font>
    <font>
      <b/>
      <sz val="8"/>
      <name val="Helv"/>
    </font>
    <font>
      <sz val="8"/>
      <name val="MS Sans Serif"/>
    </font>
    <font>
      <sz val="8"/>
      <name val="Helv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13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ck">
        <color indexed="18"/>
      </top>
      <bottom/>
      <diagonal/>
    </border>
    <border>
      <left/>
      <right style="thick">
        <color indexed="18"/>
      </right>
      <top style="thick">
        <color indexed="18"/>
      </top>
      <bottom/>
      <diagonal/>
    </border>
    <border>
      <left/>
      <right/>
      <top/>
      <bottom style="thick">
        <color indexed="18"/>
      </bottom>
      <diagonal/>
    </border>
    <border>
      <left/>
      <right style="thick">
        <color indexed="18"/>
      </right>
      <top/>
      <bottom style="thick">
        <color indexed="18"/>
      </bottom>
      <diagonal/>
    </border>
    <border>
      <left style="thick">
        <color indexed="18"/>
      </left>
      <right/>
      <top style="thick">
        <color indexed="18"/>
      </top>
      <bottom/>
      <diagonal/>
    </border>
    <border>
      <left style="thick">
        <color indexed="17"/>
      </left>
      <right style="thick">
        <color indexed="17"/>
      </right>
      <top style="thick">
        <color indexed="17"/>
      </top>
      <bottom/>
      <diagonal/>
    </border>
    <border>
      <left style="thick">
        <color indexed="17"/>
      </left>
      <right style="thick">
        <color indexed="17"/>
      </right>
      <top/>
      <bottom style="thick">
        <color indexed="17"/>
      </bottom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thick">
        <color indexed="21"/>
      </bottom>
      <diagonal/>
    </border>
    <border>
      <left style="thick">
        <color indexed="17"/>
      </left>
      <right style="thick">
        <color indexed="17"/>
      </right>
      <top style="thick">
        <color indexed="17"/>
      </top>
      <bottom style="thick">
        <color indexed="17"/>
      </bottom>
      <diagonal/>
    </border>
    <border>
      <left/>
      <right style="thick">
        <color indexed="18"/>
      </right>
      <top/>
      <bottom/>
      <diagonal/>
    </border>
    <border>
      <left style="thick">
        <color indexed="18"/>
      </left>
      <right/>
      <top/>
      <bottom style="thick">
        <color indexed="18"/>
      </bottom>
      <diagonal/>
    </border>
    <border>
      <left style="thick">
        <color indexed="18"/>
      </left>
      <right/>
      <top/>
      <bottom/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n">
        <color indexed="22"/>
      </left>
      <right style="thick">
        <color indexed="18"/>
      </right>
      <top style="thick">
        <color indexed="1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ck">
        <color indexed="18"/>
      </top>
      <bottom/>
      <diagonal/>
    </border>
    <border>
      <left/>
      <right style="thick">
        <color indexed="18"/>
      </right>
      <top/>
      <bottom style="thin">
        <color indexed="22"/>
      </bottom>
      <diagonal/>
    </border>
    <border>
      <left/>
      <right style="thin">
        <color indexed="22"/>
      </right>
      <top/>
      <bottom style="thick">
        <color indexed="18"/>
      </bottom>
      <diagonal/>
    </border>
    <border>
      <left style="thin">
        <color indexed="22"/>
      </left>
      <right style="thin">
        <color indexed="22"/>
      </right>
      <top/>
      <bottom style="thick">
        <color indexed="18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ck">
        <color indexed="17"/>
      </left>
      <right style="thick">
        <color indexed="17"/>
      </right>
      <top style="thin">
        <color indexed="22"/>
      </top>
      <bottom/>
      <diagonal/>
    </border>
    <border>
      <left style="thick">
        <color indexed="17"/>
      </left>
      <right style="thick">
        <color indexed="17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ck">
        <color indexed="1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ck">
        <color indexed="18"/>
      </bottom>
      <diagonal/>
    </border>
    <border>
      <left style="thick">
        <color indexed="18"/>
      </left>
      <right/>
      <top style="thin">
        <color indexed="22"/>
      </top>
      <bottom/>
      <diagonal/>
    </border>
    <border>
      <left style="thick">
        <color indexed="18"/>
      </left>
      <right/>
      <top style="thin">
        <color indexed="22"/>
      </top>
      <bottom style="thick">
        <color indexed="18"/>
      </bottom>
      <diagonal/>
    </border>
    <border>
      <left style="thick">
        <color indexed="17"/>
      </left>
      <right/>
      <top/>
      <bottom style="thick">
        <color indexed="18"/>
      </bottom>
      <diagonal/>
    </border>
    <border>
      <left/>
      <right style="medium">
        <color indexed="17"/>
      </right>
      <top style="thin">
        <color indexed="22"/>
      </top>
      <bottom style="thick">
        <color indexed="18"/>
      </bottom>
      <diagonal/>
    </border>
  </borders>
  <cellStyleXfs count="5">
    <xf numFmtId="0" fontId="0" fillId="0" borderId="0"/>
    <xf numFmtId="0" fontId="5" fillId="0" borderId="0"/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</cellStyleXfs>
  <cellXfs count="55">
    <xf numFmtId="0" fontId="0" fillId="0" borderId="0" xfId="0"/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0" borderId="6" xfId="0" applyFont="1" applyBorder="1" applyAlignment="1">
      <alignment horizontal="left"/>
    </xf>
    <xf numFmtId="0" fontId="2" fillId="0" borderId="2" xfId="0" applyFont="1" applyBorder="1"/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0" xfId="0" applyAlignment="1">
      <alignment horizontal="left"/>
    </xf>
    <xf numFmtId="5" fontId="0" fillId="0" borderId="0" xfId="0" applyNumberFormat="1" applyAlignment="1">
      <alignment horizontal="center"/>
    </xf>
    <xf numFmtId="5" fontId="4" fillId="0" borderId="12" xfId="0" applyNumberFormat="1" applyFont="1" applyBorder="1"/>
    <xf numFmtId="1" fontId="0" fillId="0" borderId="0" xfId="0" applyNumberFormat="1" applyAlignment="1">
      <alignment horizontal="left"/>
    </xf>
    <xf numFmtId="38" fontId="6" fillId="0" borderId="13" xfId="4" applyNumberFormat="1" applyBorder="1" applyAlignment="1"/>
    <xf numFmtId="5" fontId="4" fillId="0" borderId="12" xfId="3" applyNumberFormat="1" applyFont="1" applyBorder="1" applyAlignment="1">
      <alignment horizontal="center"/>
    </xf>
    <xf numFmtId="0" fontId="6" fillId="0" borderId="0" xfId="2">
      <alignment horizontal="left"/>
    </xf>
    <xf numFmtId="49" fontId="6" fillId="0" borderId="2" xfId="2" applyNumberFormat="1" applyBorder="1" applyAlignment="1">
      <alignment vertical="top"/>
    </xf>
    <xf numFmtId="49" fontId="5" fillId="0" borderId="3" xfId="1" applyNumberFormat="1" applyBorder="1" applyAlignment="1">
      <alignment vertical="top"/>
    </xf>
    <xf numFmtId="49" fontId="6" fillId="0" borderId="16" xfId="2" applyNumberFormat="1" applyBorder="1" applyAlignment="1">
      <alignment vertical="top"/>
    </xf>
    <xf numFmtId="49" fontId="7" fillId="0" borderId="0" xfId="0" applyNumberFormat="1" applyFont="1" applyAlignment="1">
      <alignment vertical="top"/>
    </xf>
    <xf numFmtId="49" fontId="6" fillId="0" borderId="14" xfId="2" applyNumberFormat="1" applyBorder="1" applyAlignment="1">
      <alignment vertical="top"/>
    </xf>
    <xf numFmtId="49" fontId="6" fillId="0" borderId="0" xfId="2" applyNumberFormat="1" applyAlignment="1">
      <alignment vertical="top"/>
    </xf>
    <xf numFmtId="49" fontId="6" fillId="0" borderId="15" xfId="1" applyNumberFormat="1" applyFont="1" applyBorder="1" applyAlignment="1">
      <alignment vertical="top"/>
    </xf>
    <xf numFmtId="49" fontId="6" fillId="0" borderId="4" xfId="2" applyNumberFormat="1" applyBorder="1" applyAlignment="1">
      <alignment vertical="top"/>
    </xf>
    <xf numFmtId="49" fontId="5" fillId="0" borderId="5" xfId="1" applyNumberFormat="1" applyBorder="1" applyAlignment="1">
      <alignment vertical="top"/>
    </xf>
    <xf numFmtId="49" fontId="4" fillId="0" borderId="6" xfId="1" applyNumberFormat="1" applyFont="1" applyBorder="1" applyAlignment="1">
      <alignment vertical="top"/>
    </xf>
    <xf numFmtId="0" fontId="0" fillId="0" borderId="17" xfId="0" applyBorder="1"/>
    <xf numFmtId="1" fontId="0" fillId="0" borderId="1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23" xfId="0" applyFont="1" applyBorder="1"/>
    <xf numFmtId="0" fontId="3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1" fontId="0" fillId="0" borderId="32" xfId="0" applyNumberFormat="1" applyBorder="1"/>
    <xf numFmtId="0" fontId="3" fillId="0" borderId="33" xfId="0" applyFont="1" applyBorder="1"/>
    <xf numFmtId="0" fontId="6" fillId="2" borderId="6" xfId="3" applyFill="1" applyBorder="1">
      <alignment horizontal="left"/>
    </xf>
    <xf numFmtId="0" fontId="6" fillId="2" borderId="15" xfId="3" applyFill="1" applyBorder="1">
      <alignment horizontal="left"/>
    </xf>
  </cellXfs>
  <cellStyles count="5">
    <cellStyle name="Normal" xfId="0" builtinId="0"/>
    <cellStyle name="Normal_Solver Example" xfId="1" xr:uid="{00000000-0005-0000-0000-000001000000}"/>
    <cellStyle name="Normal_SOLVER1" xfId="2" xr:uid="{00000000-0005-0000-0000-000002000000}"/>
    <cellStyle name="Normal_SOLVER2" xfId="3" xr:uid="{00000000-0005-0000-0000-000003000000}"/>
    <cellStyle name="Normal_SOLVER4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CEBAC3-3FC4-400E-876D-76B7A5A3DAD3}">
  <we:reference id="wa104100404" version="3.0.0.1" store="en-US" storeType="OMEX"/>
  <we:alternateReferences>
    <we:reference id="wa104100404" version="3.0.0.1" store="" storeType="OMEX"/>
  </we:alternateReferences>
  <we:properties>
    <we:property name="UniqueID" value="&quot;202410181731955196175&quot;"/>
    <we:property name="JxYrLgJ4HQ1aEFMXC1wtDGg7ACA=" value="&quot;&quot;"/>
    <we:property name="JxYrLgJ4HQ1aEFMXC1wtDGgHDSY+ASoRC1wS" value="&quot;ODI=&quot;"/>
    <we:property name="JxYrLgJ4HQ1aEFMXC1wtDGg5AzIFDTY=" value="&quot;RQ==&quot;"/>
    <we:property name="JxYrLgJ4HQ1aEFMXC1wtDGgiAzghBToiC0E=" value="&quot;&quot;"/>
    <we:property name="JxYrLgJ4HQ1aEFMXC1wtDGgHDSY+ASoRAEcY" value="&quot;RA==&quot;"/>
    <we:property name="JxYrLgJ4HQ1aEFMXC1wtDGgHDSY+ASoRAloGBg==" value="&quot;UCZuf158CkoDRg==&quot;"/>
    <we:property name="JxYrLgJ4HQ1aEFMXC1wtDGgHDSY+ASoRHFcZBg==" value="&quot;VFx3aA==&quot;"/>
    <we:property name="JxYrLgJ4HQ1aEFMXC1wtDGgHDSY+ASoRHFoGBg==" value="&quot;Rg==&quot;"/>
    <we:property name="JxYrLgJ4HQ1aEFMXC1wtDGgHDSY+ASoRAloGBQ==" value="&quot;UCZuf158CkoDRg==&quot;"/>
    <we:property name="JxYrLgJ4HQ1aEFMXC1wtDGgHDSY+ASoRHFcZBQ==" value="&quot;VF9qIQosKwlXBw==&quot;"/>
    <we:property name="JxYrLgJ4HQ1aEFMXC1wtDGgHDSY+ASoRHFoGBQ==" value="&quot;&quot;"/>
    <we:property name="JxYrLgJ4HQ1aEFMXC1wtDGgHDSY+ASoRAloGBA==" value="&quot;UCRueVFiaiIWRAI=&quot;"/>
    <we:property name="JxYrLgJ4HQ1aEFMXC1wtDGgHDSY+ASoRHFcZBA==" value="&quot;VFx3aA==&quot;"/>
    <we:property name="JxYrLgJ4HQ1aEFMXC1wtDGgHDSY+ASoRHFoGBA==" value="&quot;UCRueVNiaiIWRAA=&quot;"/>
    <we:property name="JxYrLgJ4HQ1aEFMXC1wtDGgHDSY+ASoRGFMZ" value="&quot;RA==&quot;"/>
    <we:property name="JxYrLgJ4HQ1aEFMXC1wtDGgHDSY+ASoRHkAQ" value="&quot;REx6eFRofl8=&quot;"/>
    <we:property name="JxYrLgJ4HQ1aEFMXC1wtDGgHDSY+ASoRHVEZ" value="&quot;RQ==&quot;"/>
    <we:property name="JxYrLgJ4HQ1aEFMXC1wtDGgHDSY+ASoRHF4N" value="&quot;RA==&quot;"/>
    <we:property name="JxYrLgJ4HQ1aEFMXC1wtDGgHDSY+ASoRGl0Z" value="&quot;REx6eQ==&quot;"/>
    <we:property name="JxYrLgJ4HQ1aEFMXC1wtDGgHDSY+ASoRDUQS" value="&quot;REx6eFRp&quot;"/>
    <we:property name="JxYrLgJ4HQ1aEFMXC1wtDGgHDSY+ASoRA0EZ" value="&quot;RA==&quot;"/>
    <we:property name="JxYrLgJ4HQ1aEFMXC1wtDGgHDSY+ASoRHUEP" value="&quot;RVJ6&quot;"/>
    <we:property name="JxYrLgJ4HQ1aEFMXC1wtDGgHDSY+ASoRHEER" value="&quot;RA==&quot;"/>
    <we:property name="JxYrLgJ4HQ1aEFMXC1wtDGgHDSY+ASoRA0AB" value="&quot;REx6f1E=&quot;"/>
    <we:property name="JxYrLgJ4HQ1aEFMXC1wtDGgHDSY+ASoRA1wc" value="&quot;R1I=&quot;"/>
    <we:property name="JxYrLgJ4HQ1aEFMXC1wtDGgHDSY+ASoRHFAD" value="&quot;RQ==&quot;"/>
    <we:property name="JxYrLgJ4HQ1aEFMXC1wtDGgHDSY+ASoRAFcS" value="&quot;RQ==&quot;"/>
    <we:property name="JxYrLgJ4HQ1aEFMXC1wtDGgHDSY+ASoRD1EW" value="&quot;REx6eFU=&quot;"/>
    <we:property name="JxYrLgJ4HQ1aEFMXC1wtDGgHDSY+ASoRHFcG" value="&quot;QQ==&quot;"/>
    <we:property name="JxYrLgJ4HQ1aEFMXC1wtDGgHDSY+ASoRD0AG" value="&quot;RQ==&quot;"/>
    <we:property name="JxYrLgJ4HQ1aEFMXC1wtDGgHDSY+ASoRHUYU" value="&quot;RA==&quot;"/>
    <we:property name="JxYrLgJ4HQ1aEFMXC1wtDGgHDSY+ASoRA1cB" value="&quot;RQ==&quot;"/>
    <we:property name="JxYrLgJ4HQ1aEFMXC1wtDGgHDSY+ASoRHV0W" value="&quot;RA==&quot;"/>
    <we:property name="JxYrLgJ4HQ1aEFMXC1wtDGgHDSY+ASoRAkIB" value="&quot;RA==&quot;"/>
    <we:property name="JxYrLgJ4HQ1aEFMXC1wtDGgHDSY+ASoRAkIF" value="&quot;RA==&quot;"/>
    <we:property name="JxYrLgJ4HQ1aEFMXC1wtDGgHDSY+ASoRCVMF" value="&quot;REx6eFRofl8=&quot;"/>
    <we:property name="JxYrLgJ4HQ1aEFMXC1wtDGgHDSY+ASoRB0IG" value="&quot;RExzcQ==&quot;"/>
    <we:property name="JxYrLgJ4HQ1aEFMXC1wtDGgHDSY+ASoRCFcU" value="&quot;REx6eFRofl8=&quot;"/>
    <we:property name="JxYrLgJ4HQ1aEFMXC1wtDGgHDSY+ASoRB0Ic" value="&quot;RQ==&quot;"/>
    <we:property name="JxYrLgJ4HQ1aEFMXC1wtDGgHDSY+ASoRB0IR" value="&quot;Rw==&quot;"/>
  </we:properties>
  <we:bindings>
    <we:binding id="refEdit" type="matrix" appref="{EF612DB3-9035-4AC2-9121-D8ACD9058FC7}"/>
    <we:binding id="Worker" type="matrix" appref="{38BF58BF-5E24-4011-8318-3D00C01E0CA0}"/>
    <we:binding id="Var$D$7:$D$13" type="matrix" appref="{717A4541-983C-4AB9-8BA4-82318C7FB900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55"/>
  <sheetViews>
    <sheetView showGridLines="0" tabSelected="1" workbookViewId="0">
      <selection activeCell="S24" sqref="S24"/>
    </sheetView>
  </sheetViews>
  <sheetFormatPr defaultRowHeight="13.2" x14ac:dyDescent="0.25"/>
  <cols>
    <col min="1" max="1" width="7.21875" customWidth="1"/>
    <col min="3" max="3" width="7.88671875" customWidth="1"/>
    <col min="4" max="4" width="9.88671875" customWidth="1"/>
    <col min="5" max="5" width="2.77734375" customWidth="1"/>
    <col min="6" max="6" width="5.109375" customWidth="1"/>
    <col min="7" max="7" width="5.44140625" customWidth="1"/>
    <col min="8" max="8" width="5.109375" customWidth="1"/>
    <col min="9" max="9" width="5.77734375" customWidth="1"/>
    <col min="10" max="10" width="5.109375" customWidth="1"/>
    <col min="11" max="11" width="4" customWidth="1"/>
    <col min="12" max="12" width="4.77734375" customWidth="1"/>
    <col min="13" max="13" width="3.21875" customWidth="1"/>
    <col min="14" max="14" width="3" customWidth="1"/>
    <col min="15" max="15" width="7.77734375" customWidth="1"/>
    <col min="16" max="16" width="7.88671875" customWidth="1"/>
    <col min="17" max="17" width="5.88671875" customWidth="1"/>
  </cols>
  <sheetData>
    <row r="1" spans="1:17" ht="14.25" customHeight="1" thickBot="1" x14ac:dyDescent="0.3">
      <c r="A1" s="1" t="s">
        <v>33</v>
      </c>
    </row>
    <row r="2" spans="1:17" ht="12" customHeight="1" thickTop="1" x14ac:dyDescent="0.25">
      <c r="A2" s="5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7" ht="10.5" customHeight="1" thickBot="1" x14ac:dyDescent="0.3">
      <c r="A3" s="5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1:17" ht="5.25" customHeight="1" thickTop="1" x14ac:dyDescent="0.25"/>
    <row r="5" spans="1:17" ht="5.25" customHeight="1" thickBot="1" x14ac:dyDescent="0.3"/>
    <row r="6" spans="1:17" ht="14.4" thickTop="1" thickBot="1" x14ac:dyDescent="0.3">
      <c r="A6" s="6" t="s">
        <v>6</v>
      </c>
      <c r="B6" s="45" t="s">
        <v>7</v>
      </c>
      <c r="C6" s="7"/>
      <c r="D6" s="37" t="s">
        <v>8</v>
      </c>
      <c r="E6" s="37"/>
      <c r="F6" s="37" t="s">
        <v>9</v>
      </c>
      <c r="G6" s="37" t="s">
        <v>10</v>
      </c>
      <c r="H6" s="37" t="s">
        <v>11</v>
      </c>
      <c r="I6" s="37" t="s">
        <v>12</v>
      </c>
      <c r="J6" s="37" t="s">
        <v>13</v>
      </c>
      <c r="K6" s="37" t="s">
        <v>14</v>
      </c>
      <c r="L6" s="36" t="s">
        <v>15</v>
      </c>
      <c r="N6" s="33" t="s">
        <v>0</v>
      </c>
      <c r="O6" s="24"/>
      <c r="P6" s="24"/>
      <c r="Q6" s="25"/>
    </row>
    <row r="7" spans="1:17" ht="12" customHeight="1" thickTop="1" thickBot="1" x14ac:dyDescent="0.3">
      <c r="A7" s="49" t="s">
        <v>16</v>
      </c>
      <c r="B7" s="46" t="s">
        <v>17</v>
      </c>
      <c r="C7" s="47"/>
      <c r="D7" s="8">
        <v>3</v>
      </c>
      <c r="E7" s="41"/>
      <c r="F7" s="35">
        <v>0</v>
      </c>
      <c r="G7" s="35">
        <v>0</v>
      </c>
      <c r="H7" s="35">
        <v>1</v>
      </c>
      <c r="I7" s="35">
        <v>1</v>
      </c>
      <c r="J7" s="35">
        <v>1</v>
      </c>
      <c r="K7" s="35">
        <v>1</v>
      </c>
      <c r="L7" s="38">
        <v>1</v>
      </c>
      <c r="N7" s="26"/>
      <c r="O7" s="27"/>
      <c r="P7" s="27"/>
      <c r="Q7" s="28"/>
    </row>
    <row r="8" spans="1:17" ht="12" customHeight="1" thickTop="1" thickBot="1" x14ac:dyDescent="0.3">
      <c r="A8" s="49" t="s">
        <v>18</v>
      </c>
      <c r="B8" s="46" t="s">
        <v>19</v>
      </c>
      <c r="C8" s="47"/>
      <c r="D8" s="43">
        <v>4</v>
      </c>
      <c r="E8" s="41"/>
      <c r="F8" s="35">
        <v>1</v>
      </c>
      <c r="G8" s="35">
        <v>0</v>
      </c>
      <c r="H8" s="35">
        <v>0</v>
      </c>
      <c r="I8" s="35">
        <v>1</v>
      </c>
      <c r="J8" s="35">
        <v>1</v>
      </c>
      <c r="K8" s="35">
        <v>1</v>
      </c>
      <c r="L8" s="38">
        <v>1</v>
      </c>
      <c r="N8" s="26"/>
      <c r="O8" s="22"/>
      <c r="P8" s="29" t="s">
        <v>1</v>
      </c>
      <c r="Q8" s="28"/>
    </row>
    <row r="9" spans="1:17" ht="12" customHeight="1" thickTop="1" thickBot="1" x14ac:dyDescent="0.3">
      <c r="A9" s="49" t="s">
        <v>20</v>
      </c>
      <c r="B9" s="46" t="s">
        <v>21</v>
      </c>
      <c r="C9" s="47"/>
      <c r="D9" s="43">
        <v>7</v>
      </c>
      <c r="E9" s="41"/>
      <c r="F9" s="35">
        <v>1</v>
      </c>
      <c r="G9" s="35">
        <v>1</v>
      </c>
      <c r="H9" s="35">
        <v>0</v>
      </c>
      <c r="I9" s="35">
        <v>0</v>
      </c>
      <c r="J9" s="35">
        <v>1</v>
      </c>
      <c r="K9" s="35">
        <v>1</v>
      </c>
      <c r="L9" s="38">
        <v>1</v>
      </c>
      <c r="N9" s="26"/>
      <c r="O9" s="29"/>
      <c r="P9" s="29"/>
      <c r="Q9" s="28"/>
    </row>
    <row r="10" spans="1:17" ht="12" customHeight="1" thickTop="1" thickBot="1" x14ac:dyDescent="0.3">
      <c r="A10" s="49" t="s">
        <v>22</v>
      </c>
      <c r="B10" s="46" t="s">
        <v>23</v>
      </c>
      <c r="C10" s="47"/>
      <c r="D10" s="43">
        <v>4</v>
      </c>
      <c r="E10" s="41"/>
      <c r="F10" s="35">
        <v>1</v>
      </c>
      <c r="G10" s="35">
        <v>1</v>
      </c>
      <c r="H10" s="35">
        <v>1</v>
      </c>
      <c r="I10" s="35">
        <v>0</v>
      </c>
      <c r="J10" s="35">
        <v>0</v>
      </c>
      <c r="K10" s="35">
        <v>1</v>
      </c>
      <c r="L10" s="38">
        <v>1</v>
      </c>
      <c r="N10" s="26"/>
      <c r="O10" s="21"/>
      <c r="P10" s="29" t="s">
        <v>2</v>
      </c>
      <c r="Q10" s="28"/>
    </row>
    <row r="11" spans="1:17" ht="12" customHeight="1" thickTop="1" thickBot="1" x14ac:dyDescent="0.3">
      <c r="A11" s="49" t="s">
        <v>24</v>
      </c>
      <c r="B11" s="46" t="s">
        <v>25</v>
      </c>
      <c r="C11" s="47"/>
      <c r="D11" s="43">
        <v>6</v>
      </c>
      <c r="E11" s="41"/>
      <c r="F11" s="35">
        <v>1</v>
      </c>
      <c r="G11" s="35">
        <v>1</v>
      </c>
      <c r="H11" s="35">
        <v>1</v>
      </c>
      <c r="I11" s="35">
        <v>1</v>
      </c>
      <c r="J11" s="35">
        <v>0</v>
      </c>
      <c r="K11" s="35">
        <v>0</v>
      </c>
      <c r="L11" s="38">
        <v>1</v>
      </c>
      <c r="N11" s="26"/>
      <c r="O11" s="29"/>
      <c r="P11" s="29"/>
      <c r="Q11" s="28"/>
    </row>
    <row r="12" spans="1:17" ht="12" customHeight="1" thickTop="1" thickBot="1" x14ac:dyDescent="0.3">
      <c r="A12" s="49" t="s">
        <v>26</v>
      </c>
      <c r="B12" s="46" t="s">
        <v>27</v>
      </c>
      <c r="C12" s="47"/>
      <c r="D12" s="44">
        <v>1</v>
      </c>
      <c r="E12" s="42"/>
      <c r="F12" s="35">
        <v>1</v>
      </c>
      <c r="G12" s="35">
        <v>1</v>
      </c>
      <c r="H12" s="35">
        <v>1</v>
      </c>
      <c r="I12" s="35">
        <v>1</v>
      </c>
      <c r="J12" s="35">
        <v>1</v>
      </c>
      <c r="K12" s="35">
        <v>0</v>
      </c>
      <c r="L12" s="38">
        <v>0</v>
      </c>
      <c r="N12" s="26"/>
      <c r="O12" s="34"/>
      <c r="P12" s="29" t="s">
        <v>3</v>
      </c>
      <c r="Q12" s="28"/>
    </row>
    <row r="13" spans="1:17" ht="12" customHeight="1" thickTop="1" thickBot="1" x14ac:dyDescent="0.3">
      <c r="A13" s="50" t="s">
        <v>28</v>
      </c>
      <c r="B13" s="48" t="s">
        <v>29</v>
      </c>
      <c r="C13" s="52"/>
      <c r="D13" s="9">
        <v>0</v>
      </c>
      <c r="E13" s="51"/>
      <c r="F13" s="40">
        <v>0</v>
      </c>
      <c r="G13" s="39">
        <v>1</v>
      </c>
      <c r="H13" s="39">
        <v>1</v>
      </c>
      <c r="I13" s="39">
        <v>1</v>
      </c>
      <c r="J13" s="39">
        <v>1</v>
      </c>
      <c r="K13" s="39">
        <v>1</v>
      </c>
      <c r="L13" s="10">
        <v>0</v>
      </c>
      <c r="N13" s="30"/>
      <c r="O13" s="31"/>
      <c r="P13" s="31"/>
      <c r="Q13" s="32"/>
    </row>
    <row r="14" spans="1:17" ht="5.25" customHeight="1" thickTop="1" thickBot="1" x14ac:dyDescent="0.3">
      <c r="D14" s="11"/>
      <c r="E14" s="11"/>
      <c r="F14" s="11"/>
      <c r="G14" s="11"/>
      <c r="H14" s="11"/>
      <c r="I14" s="11"/>
      <c r="J14" s="11"/>
      <c r="K14" s="11"/>
      <c r="L14" s="11"/>
    </row>
    <row r="15" spans="1:17" ht="14.4" thickTop="1" thickBot="1" x14ac:dyDescent="0.3">
      <c r="C15" s="12" t="s">
        <v>30</v>
      </c>
      <c r="D15" s="13">
        <f>SUM(D7:D13)</f>
        <v>25</v>
      </c>
      <c r="E15" s="13"/>
      <c r="F15" s="14">
        <f t="shared" ref="F15:L15" si="0">$D$7*F7+$D$8*F8+$D$9*F9+$D$10*F10+$D$11*F11+$D$12*F12+$D$13*F13</f>
        <v>22</v>
      </c>
      <c r="G15" s="15">
        <f t="shared" si="0"/>
        <v>18</v>
      </c>
      <c r="H15" s="15">
        <f t="shared" si="0"/>
        <v>14</v>
      </c>
      <c r="I15" s="15">
        <f t="shared" si="0"/>
        <v>14</v>
      </c>
      <c r="J15" s="15">
        <f t="shared" si="0"/>
        <v>15</v>
      </c>
      <c r="K15" s="15">
        <f t="shared" si="0"/>
        <v>18</v>
      </c>
      <c r="L15" s="16">
        <f t="shared" si="0"/>
        <v>24</v>
      </c>
    </row>
    <row r="16" spans="1:17" ht="5.25" customHeight="1" thickTop="1" thickBot="1" x14ac:dyDescent="0.3">
      <c r="C16" s="12"/>
      <c r="D16" s="13"/>
      <c r="E16" s="13"/>
      <c r="F16" s="13"/>
      <c r="G16" s="13"/>
      <c r="H16" s="13"/>
      <c r="I16" s="13"/>
      <c r="J16" s="13"/>
      <c r="K16" s="13"/>
      <c r="L16" s="13"/>
    </row>
    <row r="17" spans="2:12" ht="14.4" thickTop="1" thickBot="1" x14ac:dyDescent="0.3">
      <c r="C17" s="12" t="s">
        <v>31</v>
      </c>
      <c r="F17" s="14">
        <v>22</v>
      </c>
      <c r="G17" s="15">
        <v>17</v>
      </c>
      <c r="H17" s="15">
        <v>13</v>
      </c>
      <c r="I17" s="15">
        <v>14</v>
      </c>
      <c r="J17" s="15">
        <v>15</v>
      </c>
      <c r="K17" s="15">
        <v>18</v>
      </c>
      <c r="L17" s="16">
        <v>24</v>
      </c>
    </row>
    <row r="18" spans="2:12" ht="5.25" customHeight="1" thickTop="1" x14ac:dyDescent="0.25">
      <c r="D18" s="11"/>
      <c r="E18" s="11"/>
      <c r="F18" s="11"/>
      <c r="G18" s="11"/>
      <c r="H18" s="11"/>
      <c r="I18" s="11"/>
      <c r="J18" s="11"/>
      <c r="K18" s="11"/>
      <c r="L18" s="11"/>
    </row>
    <row r="19" spans="2:12" ht="13.8" thickBot="1" x14ac:dyDescent="0.3">
      <c r="B19" s="17" t="s">
        <v>34</v>
      </c>
      <c r="D19" s="18">
        <v>280</v>
      </c>
      <c r="E19" s="11"/>
      <c r="F19" s="11"/>
      <c r="G19" s="11"/>
      <c r="H19" s="11"/>
      <c r="I19" s="11"/>
      <c r="J19" s="11"/>
      <c r="K19" s="11"/>
      <c r="L19" s="11"/>
    </row>
    <row r="20" spans="2:12" ht="14.4" thickTop="1" thickBot="1" x14ac:dyDescent="0.3">
      <c r="B20" s="17" t="s">
        <v>32</v>
      </c>
      <c r="D20" s="19">
        <f>D15*D19</f>
        <v>7000</v>
      </c>
      <c r="E20" s="11"/>
      <c r="F20" s="20"/>
      <c r="G20" s="11"/>
      <c r="H20" s="11"/>
      <c r="I20" s="11"/>
      <c r="J20" s="11"/>
      <c r="K20" s="11"/>
      <c r="L20" s="11"/>
    </row>
    <row r="21" spans="2:12" ht="5.25" customHeight="1" thickTop="1" x14ac:dyDescent="0.25"/>
    <row r="22" spans="2:12" ht="14.25" customHeight="1" x14ac:dyDescent="0.25"/>
    <row r="23" spans="2:12" ht="10.5" customHeight="1" x14ac:dyDescent="0.25"/>
    <row r="24" spans="2:12" ht="10.5" customHeight="1" x14ac:dyDescent="0.25"/>
    <row r="25" spans="2:12" ht="10.5" customHeight="1" x14ac:dyDescent="0.25"/>
    <row r="26" spans="2:12" ht="10.5" customHeight="1" x14ac:dyDescent="0.25"/>
    <row r="27" spans="2:12" s="23" customFormat="1" ht="10.199999999999999" x14ac:dyDescent="0.2"/>
    <row r="28" spans="2:12" ht="5.25" customHeight="1" x14ac:dyDescent="0.25"/>
    <row r="29" spans="2:12" ht="10.5" customHeight="1" x14ac:dyDescent="0.25"/>
    <row r="30" spans="2:12" ht="5.25" customHeight="1" x14ac:dyDescent="0.25"/>
    <row r="31" spans="2:12" ht="10.5" customHeight="1" x14ac:dyDescent="0.25"/>
    <row r="32" spans="2:12" ht="5.25" customHeight="1" x14ac:dyDescent="0.25"/>
    <row r="33" ht="10.5" customHeight="1" x14ac:dyDescent="0.25"/>
    <row r="34" ht="10.5" customHeight="1" x14ac:dyDescent="0.25"/>
    <row r="35" ht="5.25" customHeight="1" x14ac:dyDescent="0.25"/>
    <row r="36" ht="10.5" customHeight="1" x14ac:dyDescent="0.25"/>
    <row r="37" ht="5.25" customHeight="1" x14ac:dyDescent="0.25"/>
    <row r="38" ht="10.5" customHeight="1" x14ac:dyDescent="0.25"/>
    <row r="39" ht="10.5" customHeight="1" x14ac:dyDescent="0.25"/>
    <row r="40" ht="5.25" customHeight="1" x14ac:dyDescent="0.25"/>
    <row r="41" ht="10.5" customHeight="1" x14ac:dyDescent="0.25"/>
    <row r="42" ht="10.5" customHeight="1" x14ac:dyDescent="0.25"/>
    <row r="43" ht="10.5" customHeight="1" x14ac:dyDescent="0.25"/>
    <row r="44" ht="10.5" customHeight="1" x14ac:dyDescent="0.25"/>
    <row r="45" ht="10.5" customHeight="1" x14ac:dyDescent="0.25"/>
    <row r="46" ht="5.25" customHeight="1" x14ac:dyDescent="0.25"/>
    <row r="1048550" spans="16384:16384" x14ac:dyDescent="0.25">
      <c r="XFD1048550" t="e" cm="1" vm="1">
        <f t="array" aca="1" ref="XFD1048550" ca="1">ROW(INDEX(solver_adj,0,0,1))</f>
        <v>#VALUE!</v>
      </c>
    </row>
    <row r="1048551" spans="16384:16384" x14ac:dyDescent="0.25">
      <c r="XFD1048551" cm="1">
        <f t="array" ref="XFD1048551">COLUMN(INDEX(solver_adj,0,0,1))</f>
        <v>4</v>
      </c>
    </row>
    <row r="1048552" spans="16384:16384" x14ac:dyDescent="0.25">
      <c r="XFD1048552">
        <f>ROWS(INDEX(solver_adj,0,0,1))</f>
        <v>7</v>
      </c>
    </row>
    <row r="1048553" spans="16384:16384" x14ac:dyDescent="0.25">
      <c r="XFD1048553">
        <f>COLUMNS(INDEX(solver_adj,0,0,1))</f>
        <v>1</v>
      </c>
    </row>
    <row r="1048554" spans="16384:16384" x14ac:dyDescent="0.25">
      <c r="XFD1048554">
        <f>solver_eng</f>
        <v>2</v>
      </c>
    </row>
    <row r="1048555" spans="16384:16384" x14ac:dyDescent="0.25">
      <c r="XFD1048555">
        <f>solver_val</f>
        <v>0</v>
      </c>
    </row>
  </sheetData>
  <phoneticPr fontId="0" type="noConversion"/>
  <printOptions gridLinesSet="0"/>
  <pageMargins left="0.75" right="0.75" top="1" bottom="1" header="0.5" footer="0.5"/>
  <headerFooter alignWithMargins="0">
    <oddHeader>&amp;A</oddHeader>
    <oddFooter>Page &amp;P</oddFooter>
  </headerFooter>
  <extLst>
    <ext xmlns:x15="http://schemas.microsoft.com/office/spreadsheetml/2010/11/main" uri="{F7C9EE02-42E1-4005-9D12-6889AFFD525C}">
      <x15:webExtensions xmlns:xm="http://schemas.microsoft.com/office/excel/2006/main">
        <x15:webExtension appRef="{EF612DB3-9035-4AC2-9121-D8ACD9058FC7}">
          <xm:f>'Staff Scheduling'!1:1048576</xm:f>
        </x15:webExtension>
        <x15:webExtension appRef="{38BF58BF-5E24-4011-8318-3D00C01E0CA0}">
          <xm:f>'Staff Scheduling'!XFD1048550:XFD1048575</xm:f>
        </x15:webExtension>
        <x15:webExtension appRef="{717A4541-983C-4AB9-8BA4-82318C7FB900}">
          <xm:f>'Staff Scheduling'!$D$7:$D$13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Scheduling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Solver Samples</dc:title>
  <dc:creator>Microsoft Corp.</dc:creator>
  <dc:description>Example models illustrating applications of Microsoft Excel's Solver.</dc:description>
  <cp:lastModifiedBy>matthew kulynych</cp:lastModifiedBy>
  <dcterms:created xsi:type="dcterms:W3CDTF">1996-10-03T21:59:12Z</dcterms:created>
  <dcterms:modified xsi:type="dcterms:W3CDTF">2025-12-03T14:54:02Z</dcterms:modified>
</cp:coreProperties>
</file>