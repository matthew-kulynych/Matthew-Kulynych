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c6033c736819bc/Documents/Advanced Sports Analytics/"/>
    </mc:Choice>
  </mc:AlternateContent>
  <xr:revisionPtr revIDLastSave="1186" documentId="8_{E6A54C63-648B-420F-B40A-5B894C9D4B15}" xr6:coauthVersionLast="47" xr6:coauthVersionMax="47" xr10:uidLastSave="{A2B4FA63-93DE-47DC-BCFE-D83FF5DCA9E6}"/>
  <bookViews>
    <workbookView xWindow="-108" yWindow="-108" windowWidth="23256" windowHeight="13896" activeTab="1" xr2:uid="{AEB37F0A-98ED-40E5-8F42-9531D0AA39EF}"/>
  </bookViews>
  <sheets>
    <sheet name="Summary" sheetId="6" r:id="rId1"/>
    <sheet name="Q1" sheetId="2" r:id="rId2"/>
    <sheet name="Q2" sheetId="4" r:id="rId3"/>
    <sheet name="Q3" sheetId="5" r:id="rId4"/>
  </sheets>
  <definedNames>
    <definedName name="solver_adj" localSheetId="1" hidden="1">'Q1'!$D$8:$D$13</definedName>
    <definedName name="solver_adj" localSheetId="2" hidden="1">'Q2'!$D$8:$D$13</definedName>
    <definedName name="solver_adj" localSheetId="3" hidden="1">'Q3'!$D$8:$D$13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0" localSheetId="1" hidden="1">'Q1'!$B$17</definedName>
    <definedName name="solver_lhs1" localSheetId="1" hidden="1">'Q1'!$B$17</definedName>
    <definedName name="solver_lhs1" localSheetId="2" hidden="1">'Q2'!$B$17</definedName>
    <definedName name="solver_lhs1" localSheetId="3" hidden="1">'Q3'!$B$17</definedName>
    <definedName name="solver_lhs10" localSheetId="1" hidden="1">'Q1'!$D$8</definedName>
    <definedName name="solver_lhs11" localSheetId="1" hidden="1">'Q1'!$D$8</definedName>
    <definedName name="solver_lhs12" localSheetId="1" hidden="1">'Q1'!$D$8:$D$13</definedName>
    <definedName name="solver_lhs13" localSheetId="1" hidden="1">'Q1'!$D$9</definedName>
    <definedName name="solver_lhs2" localSheetId="1" hidden="1">'Q1'!$D$10</definedName>
    <definedName name="solver_lhs2" localSheetId="2" hidden="1">'Q2'!$D$11</definedName>
    <definedName name="solver_lhs2" localSheetId="3" hidden="1">'Q3'!$D$11</definedName>
    <definedName name="solver_lhs3" localSheetId="1" hidden="1">'Q1'!$D$10</definedName>
    <definedName name="solver_lhs3" localSheetId="2" hidden="1">'Q2'!$D$12</definedName>
    <definedName name="solver_lhs3" localSheetId="3" hidden="1">'Q3'!$D$12</definedName>
    <definedName name="solver_lhs4" localSheetId="1" hidden="1">'Q1'!$D$11</definedName>
    <definedName name="solver_lhs4" localSheetId="2" hidden="1">'Q2'!$D$13</definedName>
    <definedName name="solver_lhs4" localSheetId="3" hidden="1">'Q3'!$D$13</definedName>
    <definedName name="solver_lhs5" localSheetId="1" hidden="1">'Q1'!$D$11</definedName>
    <definedName name="solver_lhs5" localSheetId="2" hidden="1">'Q2'!$D$8</definedName>
    <definedName name="solver_lhs5" localSheetId="3" hidden="1">'Q3'!$D$8</definedName>
    <definedName name="solver_lhs6" localSheetId="1" hidden="1">'Q1'!$D$12</definedName>
    <definedName name="solver_lhs6" localSheetId="2" hidden="1">'Q2'!$D$8:$D$13</definedName>
    <definedName name="solver_lhs6" localSheetId="3" hidden="1">'Q3'!$D$8:$D$13</definedName>
    <definedName name="solver_lhs7" localSheetId="1" hidden="1">'Q1'!$D$12</definedName>
    <definedName name="solver_lhs7" localSheetId="2" hidden="1">'Q2'!$D$9</definedName>
    <definedName name="solver_lhs7" localSheetId="3" hidden="1">'Q3'!$D$9</definedName>
    <definedName name="solver_lhs8" localSheetId="1" hidden="1">'Q1'!$D$13</definedName>
    <definedName name="solver_lhs8" localSheetId="2" hidden="1">'Q2'!$D$10</definedName>
    <definedName name="solver_lhs8" localSheetId="3" hidden="1">'Q3'!$D$10</definedName>
    <definedName name="solver_lhs9" localSheetId="1" hidden="1">'Q1'!$D$13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1" hidden="1">13</definedName>
    <definedName name="solver_num" localSheetId="2" hidden="1">8</definedName>
    <definedName name="solver_num" localSheetId="3" hidden="1">8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'Q1'!$B$16</definedName>
    <definedName name="solver_opt" localSheetId="2" hidden="1">'Q2'!$B$16</definedName>
    <definedName name="solver_opt" localSheetId="3" hidden="1">'Q3'!$B$16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0" localSheetId="1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0" localSheetId="1" hidden="1">1</definedName>
    <definedName name="solver_rel11" localSheetId="1" hidden="1">3</definedName>
    <definedName name="solver_rel12" localSheetId="1" hidden="1">4</definedName>
    <definedName name="solver_rel13" localSheetId="1" hidden="1">2</definedName>
    <definedName name="solver_rel2" localSheetId="1" hidden="1">1</definedName>
    <definedName name="solver_rel2" localSheetId="2" hidden="1">3</definedName>
    <definedName name="solver_rel2" localSheetId="3" hidden="1">3</definedName>
    <definedName name="solver_rel3" localSheetId="1" hidden="1">3</definedName>
    <definedName name="solver_rel3" localSheetId="2" hidden="1">3</definedName>
    <definedName name="solver_rel3" localSheetId="3" hidden="1">3</definedName>
    <definedName name="solver_rel4" localSheetId="1" hidden="1">1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1</definedName>
    <definedName name="solver_rel6" localSheetId="2" hidden="1">4</definedName>
    <definedName name="solver_rel6" localSheetId="3" hidden="1">4</definedName>
    <definedName name="solver_rel7" localSheetId="1" hidden="1">3</definedName>
    <definedName name="solver_rel7" localSheetId="2" hidden="1">3</definedName>
    <definedName name="solver_rel7" localSheetId="3" hidden="1">3</definedName>
    <definedName name="solver_rel8" localSheetId="1" hidden="1">1</definedName>
    <definedName name="solver_rel8" localSheetId="2" hidden="1">3</definedName>
    <definedName name="solver_rel8" localSheetId="3" hidden="1">3</definedName>
    <definedName name="solver_rel9" localSheetId="1" hidden="1">3</definedName>
    <definedName name="solver_rhs1" localSheetId="1" hidden="1">3000</definedName>
    <definedName name="solver_rhs1" localSheetId="2" hidden="1">2500</definedName>
    <definedName name="solver_rhs1" localSheetId="3" hidden="1">2200</definedName>
    <definedName name="solver_rhs10" localSheetId="1" hidden="1">48</definedName>
    <definedName name="solver_rhs11" localSheetId="1" hidden="1">32</definedName>
    <definedName name="solver_rhs12" localSheetId="1" hidden="1">"integer"</definedName>
    <definedName name="solver_rhs13" localSheetId="1" hidden="1">2</definedName>
    <definedName name="solver_rhs2" localSheetId="1" hidden="1">24</definedName>
    <definedName name="solver_rhs2" localSheetId="2" hidden="1">'Q2'!#REF!</definedName>
    <definedName name="solver_rhs2" localSheetId="3" hidden="1">'Q3'!#REF!</definedName>
    <definedName name="solver_rhs3" localSheetId="1" hidden="1">16</definedName>
    <definedName name="solver_rhs3" localSheetId="2" hidden="1">'Q2'!#REF!</definedName>
    <definedName name="solver_rhs3" localSheetId="3" hidden="1">'Q3'!#REF!</definedName>
    <definedName name="solver_rhs4" localSheetId="1" hidden="1">60</definedName>
    <definedName name="solver_rhs4" localSheetId="2" hidden="1">'Q2'!#REF!</definedName>
    <definedName name="solver_rhs4" localSheetId="3" hidden="1">'Q3'!#REF!</definedName>
    <definedName name="solver_rhs5" localSheetId="1" hidden="1">30</definedName>
    <definedName name="solver_rhs5" localSheetId="2" hidden="1">'Q2'!#REF!</definedName>
    <definedName name="solver_rhs5" localSheetId="3" hidden="1">'Q3'!#REF!</definedName>
    <definedName name="solver_rhs6" localSheetId="1" hidden="1">2</definedName>
    <definedName name="solver_rhs6" localSheetId="2" hidden="1">"integer"</definedName>
    <definedName name="solver_rhs6" localSheetId="3" hidden="1">"integer"</definedName>
    <definedName name="solver_rhs7" localSheetId="1" hidden="1">1</definedName>
    <definedName name="solver_rhs7" localSheetId="2" hidden="1">'Q2'!#REF!</definedName>
    <definedName name="solver_rhs7" localSheetId="3" hidden="1">'Q3'!#REF!</definedName>
    <definedName name="solver_rhs8" localSheetId="1" hidden="1">40</definedName>
    <definedName name="solver_rhs8" localSheetId="2" hidden="1">'Q2'!#REF!</definedName>
    <definedName name="solver_rhs8" localSheetId="3" hidden="1">'Q3'!#REF!</definedName>
    <definedName name="solver_rhs9" localSheetId="1" hidden="1">20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FD1048550" i="2" l="1" a="1"/>
  <c r="XFD1048550" i="2" s="1"/>
  <c r="XFD1048551" i="2" a="1"/>
  <c r="XFD1048551" i="2" s="1"/>
  <c r="XFD1048552" i="2"/>
  <c r="XFD1048553" i="2"/>
  <c r="XFD1048554" i="2"/>
  <c r="XFD1048555" i="2"/>
  <c r="C20" i="6"/>
  <c r="D10" i="6"/>
  <c r="E10" i="6"/>
  <c r="C10" i="6"/>
  <c r="B16" i="5"/>
  <c r="F13" i="5"/>
  <c r="E13" i="5"/>
  <c r="F12" i="5"/>
  <c r="E12" i="5"/>
  <c r="F11" i="5"/>
  <c r="E11" i="5"/>
  <c r="F10" i="5"/>
  <c r="E10" i="5"/>
  <c r="E9" i="5"/>
  <c r="G9" i="5" s="1"/>
  <c r="F8" i="5"/>
  <c r="E8" i="5"/>
  <c r="B16" i="4"/>
  <c r="F13" i="4"/>
  <c r="E13" i="4"/>
  <c r="F12" i="4"/>
  <c r="E12" i="4"/>
  <c r="F11" i="4"/>
  <c r="E11" i="4"/>
  <c r="F10" i="4"/>
  <c r="E10" i="4"/>
  <c r="G10" i="4" s="1"/>
  <c r="E9" i="4"/>
  <c r="G9" i="4" s="1"/>
  <c r="F8" i="4"/>
  <c r="E8" i="4"/>
  <c r="F10" i="2"/>
  <c r="B16" i="2"/>
  <c r="F13" i="2"/>
  <c r="E13" i="2"/>
  <c r="F12" i="2"/>
  <c r="E12" i="2"/>
  <c r="F11" i="2"/>
  <c r="E11" i="2"/>
  <c r="E10" i="2"/>
  <c r="G10" i="2" s="1"/>
  <c r="E9" i="2"/>
  <c r="G9" i="2" s="1"/>
  <c r="F8" i="2"/>
  <c r="E8" i="2"/>
  <c r="G10" i="5" l="1"/>
  <c r="G12" i="5"/>
  <c r="G13" i="5"/>
  <c r="G11" i="5"/>
  <c r="G8" i="5"/>
  <c r="G8" i="4"/>
  <c r="G13" i="4"/>
  <c r="G12" i="4"/>
  <c r="G11" i="4"/>
  <c r="G12" i="2"/>
  <c r="G8" i="2"/>
  <c r="G13" i="2"/>
  <c r="G11" i="2"/>
  <c r="B17" i="5" l="1"/>
  <c r="B17" i="4"/>
  <c r="B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<sst xmlns="http://schemas.openxmlformats.org/spreadsheetml/2006/main" count="105" uniqueCount="36">
  <si>
    <t>Objective Function:</t>
  </si>
  <si>
    <t>Decision Variables:</t>
  </si>
  <si>
    <t>Constraints:</t>
  </si>
  <si>
    <t>Maximize total number of equipment purchased</t>
  </si>
  <si>
    <t>Equipment</t>
  </si>
  <si>
    <t>Basketballs</t>
  </si>
  <si>
    <t>Basketball racks</t>
  </si>
  <si>
    <t>Tennis Rackets</t>
  </si>
  <si>
    <t>Tennis Balls (pack of 3)</t>
  </si>
  <si>
    <t>Volleyball Indoor Net</t>
  </si>
  <si>
    <t>Volleyballs</t>
  </si>
  <si>
    <t>Price</t>
  </si>
  <si>
    <t>Shipping</t>
  </si>
  <si>
    <t>Total Cost</t>
  </si>
  <si>
    <t>$10 per net</t>
  </si>
  <si>
    <t>$.15 per ball</t>
  </si>
  <si>
    <t>Free</t>
  </si>
  <si>
    <t>Total Equipment</t>
  </si>
  <si>
    <t>Quantity Purchased</t>
  </si>
  <si>
    <t>Shipping Cost</t>
  </si>
  <si>
    <t>$ 0.5 per ball</t>
  </si>
  <si>
    <t>$0.15 per pack</t>
  </si>
  <si>
    <t>Quantity of equipment to purchase</t>
  </si>
  <si>
    <t>Q1</t>
  </si>
  <si>
    <t>Q2</t>
  </si>
  <si>
    <t>Q3</t>
  </si>
  <si>
    <t>Optimized Maximum Quantity</t>
  </si>
  <si>
    <t>Total Equipment:</t>
  </si>
  <si>
    <t>Purchase Price</t>
  </si>
  <si>
    <t>Items:</t>
  </si>
  <si>
    <t>Basketball (32-48), Basketball racks (2), Tennis Rackets (16-24), Tennis Balls (30-60), Volleyball Indoor Net (1-2), Volleyballs (20-40)</t>
  </si>
  <si>
    <t>Limited budget of $3,000 ($500 to intern), minimum/max quantity of each equipment</t>
  </si>
  <si>
    <t>Limited budget of $3,000; minimum quantity of each equipment</t>
  </si>
  <si>
    <t>Limited budget of $3,000 ($500 for intern, $300 emergency fund); minimum/maximum # of equipment</t>
  </si>
  <si>
    <t>Total Cost/Item</t>
  </si>
  <si>
    <t>Total Cost /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</si>
</sst>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0" fillId="3" borderId="5" xfId="0" applyFill="1" applyBorder="1"/>
    <xf numFmtId="0" fontId="0" fillId="3" borderId="7" xfId="0" applyFill="1" applyBorder="1"/>
    <xf numFmtId="8" fontId="0" fillId="3" borderId="8" xfId="0" applyNumberFormat="1" applyFill="1" applyBorder="1"/>
    <xf numFmtId="0" fontId="2" fillId="0" borderId="9" xfId="0" applyFont="1" applyBorder="1"/>
    <xf numFmtId="0" fontId="0" fillId="0" borderId="15" xfId="0" applyBorder="1"/>
    <xf numFmtId="0" fontId="0" fillId="0" borderId="16" xfId="0" applyBorder="1"/>
    <xf numFmtId="8" fontId="0" fillId="4" borderId="1" xfId="0" applyNumberFormat="1" applyFill="1" applyBorder="1"/>
    <xf numFmtId="8" fontId="0" fillId="4" borderId="17" xfId="0" applyNumberFormat="1" applyFill="1" applyBorder="1"/>
    <xf numFmtId="8" fontId="0" fillId="4" borderId="6" xfId="0" applyNumberFormat="1" applyFill="1" applyBorder="1"/>
    <xf numFmtId="0" fontId="0" fillId="4" borderId="19" xfId="0" applyFill="1" applyBorder="1"/>
    <xf numFmtId="6" fontId="0" fillId="4" borderId="19" xfId="0" applyNumberFormat="1" applyFill="1" applyBorder="1"/>
    <xf numFmtId="44" fontId="0" fillId="4" borderId="19" xfId="1" applyFont="1" applyFill="1" applyBorder="1"/>
    <xf numFmtId="8" fontId="0" fillId="4" borderId="20" xfId="0" applyNumberFormat="1" applyFill="1" applyBorder="1"/>
    <xf numFmtId="0" fontId="0" fillId="4" borderId="8" xfId="0" applyFill="1" applyBorder="1"/>
    <xf numFmtId="0" fontId="2" fillId="0" borderId="22" xfId="0" applyFont="1" applyBorder="1"/>
    <xf numFmtId="0" fontId="2" fillId="0" borderId="23" xfId="0" applyFont="1" applyBorder="1"/>
    <xf numFmtId="164" fontId="0" fillId="2" borderId="10" xfId="0" applyNumberFormat="1" applyFill="1" applyBorder="1"/>
    <xf numFmtId="2" fontId="0" fillId="2" borderId="10" xfId="0" applyNumberFormat="1" applyFill="1" applyBorder="1"/>
    <xf numFmtId="1" fontId="0" fillId="3" borderId="6" xfId="0" applyNumberFormat="1" applyFill="1" applyBorder="1"/>
    <xf numFmtId="164" fontId="0" fillId="2" borderId="11" xfId="0" applyNumberFormat="1" applyFill="1" applyBorder="1"/>
    <xf numFmtId="2" fontId="0" fillId="2" borderId="11" xfId="0" applyNumberFormat="1" applyFill="1" applyBorder="1"/>
    <xf numFmtId="0" fontId="2" fillId="0" borderId="24" xfId="0" applyFont="1" applyBorder="1"/>
    <xf numFmtId="0" fontId="0" fillId="0" borderId="1" xfId="0" applyBorder="1"/>
    <xf numFmtId="164" fontId="0" fillId="2" borderId="1" xfId="0" applyNumberFormat="1" applyFill="1" applyBorder="1"/>
    <xf numFmtId="0" fontId="0" fillId="0" borderId="18" xfId="0" applyBorder="1"/>
    <xf numFmtId="0" fontId="0" fillId="0" borderId="19" xfId="0" applyBorder="1"/>
    <xf numFmtId="2" fontId="0" fillId="2" borderId="18" xfId="0" applyNumberFormat="1" applyFill="1" applyBorder="1"/>
    <xf numFmtId="2" fontId="0" fillId="2" borderId="19" xfId="0" applyNumberFormat="1" applyFill="1" applyBorder="1"/>
    <xf numFmtId="0" fontId="0" fillId="5" borderId="3" xfId="0" applyFill="1" applyBorder="1"/>
    <xf numFmtId="0" fontId="0" fillId="0" borderId="25" xfId="0" applyBorder="1"/>
    <xf numFmtId="2" fontId="0" fillId="2" borderId="26" xfId="0" applyNumberFormat="1" applyFill="1" applyBorder="1"/>
    <xf numFmtId="164" fontId="0" fillId="2" borderId="13" xfId="0" applyNumberFormat="1" applyFill="1" applyBorder="1"/>
    <xf numFmtId="2" fontId="0" fillId="2" borderId="27" xfId="0" applyNumberFormat="1" applyFill="1" applyBorder="1"/>
    <xf numFmtId="0" fontId="0" fillId="6" borderId="28" xfId="0" applyFill="1" applyBorder="1" applyAlignment="1">
      <alignment horizontal="right"/>
    </xf>
    <xf numFmtId="2" fontId="0" fillId="6" borderId="21" xfId="0" applyNumberFormat="1" applyFill="1" applyBorder="1"/>
    <xf numFmtId="2" fontId="0" fillId="6" borderId="22" xfId="0" applyNumberFormat="1" applyFill="1" applyBorder="1"/>
    <xf numFmtId="2" fontId="0" fillId="6" borderId="23" xfId="0" applyNumberForma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8" fontId="0" fillId="7" borderId="14" xfId="0" applyNumberFormat="1" applyFill="1" applyBorder="1"/>
    <xf numFmtId="8" fontId="0" fillId="7" borderId="4" xfId="0" applyNumberFormat="1" applyFill="1" applyBorder="1"/>
    <xf numFmtId="8" fontId="0" fillId="7" borderId="29" xfId="0" applyNumberFormat="1" applyFill="1" applyBorder="1"/>
    <xf numFmtId="8" fontId="0" fillId="7" borderId="30" xfId="0" applyNumberFormat="1" applyFill="1" applyBorder="1"/>
    <xf numFmtId="0" fontId="2" fillId="7" borderId="28" xfId="0" applyFont="1" applyFill="1" applyBorder="1"/>
    <xf numFmtId="44" fontId="0" fillId="7" borderId="31" xfId="1" applyFont="1" applyFill="1" applyBorder="1"/>
    <xf numFmtId="44" fontId="0" fillId="7" borderId="32" xfId="1" applyFont="1" applyFill="1" applyBorder="1"/>
    <xf numFmtId="0" fontId="2" fillId="0" borderId="2" xfId="0" applyFont="1" applyBorder="1"/>
    <xf numFmtId="2" fontId="0" fillId="2" borderId="12" xfId="0" applyNumberFormat="1" applyFill="1" applyBorder="1"/>
    <xf numFmtId="2" fontId="0" fillId="2" borderId="33" xfId="0" applyNumberFormat="1" applyFill="1" applyBorder="1"/>
    <xf numFmtId="2" fontId="0" fillId="6" borderId="2" xfId="0" applyNumberFormat="1" applyFill="1" applyBorder="1"/>
    <xf numFmtId="0" fontId="0" fillId="0" borderId="9" xfId="0" applyBorder="1" applyAlignment="1">
      <alignment horizontal="center"/>
    </xf>
    <xf numFmtId="0" fontId="2" fillId="0" borderId="5" xfId="0" applyFont="1" applyBorder="1"/>
    <xf numFmtId="0" fontId="2" fillId="0" borderId="17" xfId="0" applyFont="1" applyBorder="1"/>
    <xf numFmtId="0" fontId="2" fillId="0" borderId="6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1D1AD7-89A4-4B87-A9CB-EE86BB7C4673}">
  <we:reference id="wa104100404" version="3.0.0.1" store="en-US" storeType="OMEX"/>
  <we:alternateReferences>
    <we:reference id="wa104100404" version="3.0.0.1" store="" storeType="OMEX"/>
  </we:alternateReferences>
  <we:properties>
    <we:property name="UniqueID" value="&quot;202410181731956888132&quot;"/>
    <we:property name="OAFrexpf" value="&quot;&quot;"/>
    <we:property name="OAFrRxdZTgtAKlIMAA==" value="&quot;JWA=&quot;"/>
    <we:property name="OAFreRlNdQdc" value="&quot;WA==&quot;"/>
    <we:property name="OAFrYhlHUQ9QGVIR" value="&quot;&quot;"/>
    <we:property name="OAFrYhlHUQ9QGVIRVw==" value="&quot;&quot;"/>
  </we:properties>
  <we:bindings>
    <we:binding id="refEdit" type="matrix" appref="{B52F8736-F517-43BA-8AC7-477A50117DB2}"/>
    <we:binding id="Worker" type="matrix" appref="{6DD1CB54-1012-42CA-BD1D-19061C61C07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C159-AC0D-46C2-AF2D-6FF7418B37A3}">
  <dimension ref="B1:E20"/>
  <sheetViews>
    <sheetView topLeftCell="A3" workbookViewId="0">
      <selection activeCell="C13" sqref="C13"/>
    </sheetView>
  </sheetViews>
  <sheetFormatPr defaultRowHeight="14.4" x14ac:dyDescent="0.3"/>
  <cols>
    <col min="2" max="2" width="19.88671875" bestFit="1" customWidth="1"/>
  </cols>
  <sheetData>
    <row r="1" spans="2:5" ht="15" thickBot="1" x14ac:dyDescent="0.35"/>
    <row r="2" spans="2:5" ht="15" thickBot="1" x14ac:dyDescent="0.35">
      <c r="B2" s="30"/>
      <c r="C2" s="53" t="s">
        <v>26</v>
      </c>
      <c r="D2" s="54"/>
      <c r="E2" s="55"/>
    </row>
    <row r="3" spans="2:5" x14ac:dyDescent="0.3">
      <c r="B3" s="23" t="s">
        <v>4</v>
      </c>
      <c r="C3" s="26" t="s">
        <v>23</v>
      </c>
      <c r="D3" s="24" t="s">
        <v>24</v>
      </c>
      <c r="E3" s="27" t="s">
        <v>25</v>
      </c>
    </row>
    <row r="4" spans="2:5" x14ac:dyDescent="0.3">
      <c r="B4" s="6" t="s">
        <v>5</v>
      </c>
      <c r="C4" s="28">
        <v>48</v>
      </c>
      <c r="D4" s="25">
        <v>32</v>
      </c>
      <c r="E4" s="29">
        <v>32</v>
      </c>
    </row>
    <row r="5" spans="2:5" x14ac:dyDescent="0.3">
      <c r="B5" s="6" t="s">
        <v>6</v>
      </c>
      <c r="C5" s="28">
        <v>2</v>
      </c>
      <c r="D5" s="25">
        <v>2</v>
      </c>
      <c r="E5" s="29">
        <v>2</v>
      </c>
    </row>
    <row r="6" spans="2:5" x14ac:dyDescent="0.3">
      <c r="B6" s="6" t="s">
        <v>7</v>
      </c>
      <c r="C6" s="28">
        <v>16</v>
      </c>
      <c r="D6" s="25">
        <v>16</v>
      </c>
      <c r="E6" s="29">
        <v>16</v>
      </c>
    </row>
    <row r="7" spans="2:5" x14ac:dyDescent="0.3">
      <c r="B7" s="6" t="s">
        <v>8</v>
      </c>
      <c r="C7" s="28">
        <v>59</v>
      </c>
      <c r="D7" s="25">
        <v>59</v>
      </c>
      <c r="E7" s="29">
        <v>34</v>
      </c>
    </row>
    <row r="8" spans="2:5" x14ac:dyDescent="0.3">
      <c r="B8" s="6" t="s">
        <v>9</v>
      </c>
      <c r="C8" s="28">
        <v>1</v>
      </c>
      <c r="D8" s="25">
        <v>1</v>
      </c>
      <c r="E8" s="29">
        <v>1</v>
      </c>
    </row>
    <row r="9" spans="2:5" ht="15" thickBot="1" x14ac:dyDescent="0.35">
      <c r="B9" s="31" t="s">
        <v>10</v>
      </c>
      <c r="C9" s="32">
        <v>32</v>
      </c>
      <c r="D9" s="33">
        <v>20</v>
      </c>
      <c r="E9" s="34">
        <v>20</v>
      </c>
    </row>
    <row r="10" spans="2:5" ht="15" thickBot="1" x14ac:dyDescent="0.35">
      <c r="B10" s="35" t="s">
        <v>27</v>
      </c>
      <c r="C10" s="36">
        <f>SUM(C4:C9)</f>
        <v>158</v>
      </c>
      <c r="D10" s="37">
        <f t="shared" ref="D10:E10" si="0">SUM(D4:D9)</f>
        <v>130</v>
      </c>
      <c r="E10" s="38">
        <f t="shared" si="0"/>
        <v>105</v>
      </c>
    </row>
    <row r="12" spans="2:5" ht="15" thickBot="1" x14ac:dyDescent="0.35"/>
    <row r="13" spans="2:5" x14ac:dyDescent="0.3">
      <c r="B13" s="23" t="s">
        <v>4</v>
      </c>
      <c r="C13" s="52" t="s">
        <v>23</v>
      </c>
    </row>
    <row r="14" spans="2:5" x14ac:dyDescent="0.3">
      <c r="B14" s="6" t="s">
        <v>5</v>
      </c>
      <c r="C14" s="49">
        <v>48</v>
      </c>
    </row>
    <row r="15" spans="2:5" x14ac:dyDescent="0.3">
      <c r="B15" s="6" t="s">
        <v>6</v>
      </c>
      <c r="C15" s="49">
        <v>2</v>
      </c>
    </row>
    <row r="16" spans="2:5" x14ac:dyDescent="0.3">
      <c r="B16" s="6" t="s">
        <v>7</v>
      </c>
      <c r="C16" s="49">
        <v>16</v>
      </c>
    </row>
    <row r="17" spans="2:3" x14ac:dyDescent="0.3">
      <c r="B17" s="6" t="s">
        <v>8</v>
      </c>
      <c r="C17" s="49">
        <v>59</v>
      </c>
    </row>
    <row r="18" spans="2:3" x14ac:dyDescent="0.3">
      <c r="B18" s="6" t="s">
        <v>9</v>
      </c>
      <c r="C18" s="49">
        <v>1</v>
      </c>
    </row>
    <row r="19" spans="2:3" ht="15" thickBot="1" x14ac:dyDescent="0.35">
      <c r="B19" s="31" t="s">
        <v>10</v>
      </c>
      <c r="C19" s="50">
        <v>32</v>
      </c>
    </row>
    <row r="20" spans="2:3" ht="15" thickBot="1" x14ac:dyDescent="0.35">
      <c r="B20" s="35" t="s">
        <v>27</v>
      </c>
      <c r="C20" s="51">
        <f>SUM(C14:C19)</f>
        <v>158</v>
      </c>
    </row>
  </sheetData>
  <mergeCells count="1">
    <mergeCell ref="C2:E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27EF-FA23-43D7-ADB9-2D0E8751F03D}">
  <dimension ref="A2:XFD1048555"/>
  <sheetViews>
    <sheetView tabSelected="1" workbookViewId="0">
      <selection activeCell="J18" sqref="J18"/>
    </sheetView>
  </sheetViews>
  <sheetFormatPr defaultRowHeight="14.4" x14ac:dyDescent="0.3"/>
  <cols>
    <col min="1" max="1" width="19.88671875" bestFit="1" customWidth="1"/>
    <col min="2" max="2" width="15.5546875" customWidth="1"/>
    <col min="3" max="3" width="14.21875" bestFit="1" customWidth="1"/>
    <col min="4" max="4" width="8" bestFit="1" customWidth="1"/>
    <col min="5" max="5" width="14.21875" bestFit="1" customWidth="1"/>
    <col min="6" max="6" width="12.109375" bestFit="1" customWidth="1"/>
    <col min="7" max="7" width="14.88671875" bestFit="1" customWidth="1"/>
    <col min="8" max="8" width="12.109375" bestFit="1" customWidth="1"/>
    <col min="9" max="9" width="14.88671875" bestFit="1" customWidth="1"/>
  </cols>
  <sheetData>
    <row r="2" spans="1:7" x14ac:dyDescent="0.3">
      <c r="A2" s="1" t="s">
        <v>0</v>
      </c>
      <c r="B2" t="s">
        <v>3</v>
      </c>
    </row>
    <row r="3" spans="1:7" x14ac:dyDescent="0.3">
      <c r="A3" s="1" t="s">
        <v>1</v>
      </c>
      <c r="B3" t="s">
        <v>22</v>
      </c>
    </row>
    <row r="4" spans="1:7" x14ac:dyDescent="0.3">
      <c r="A4" s="1" t="s">
        <v>2</v>
      </c>
      <c r="B4" t="s">
        <v>32</v>
      </c>
    </row>
    <row r="5" spans="1:7" x14ac:dyDescent="0.3">
      <c r="A5" s="1" t="s">
        <v>29</v>
      </c>
      <c r="B5" t="s">
        <v>30</v>
      </c>
    </row>
    <row r="6" spans="1:7" ht="15" thickBot="1" x14ac:dyDescent="0.35"/>
    <row r="7" spans="1:7" ht="15" thickBot="1" x14ac:dyDescent="0.35">
      <c r="A7" s="5" t="s">
        <v>4</v>
      </c>
      <c r="B7" s="16" t="s">
        <v>11</v>
      </c>
      <c r="C7" s="17" t="s">
        <v>12</v>
      </c>
      <c r="D7" s="5" t="s">
        <v>18</v>
      </c>
      <c r="E7" s="45" t="s">
        <v>28</v>
      </c>
      <c r="F7" s="39" t="s">
        <v>19</v>
      </c>
      <c r="G7" s="40" t="s">
        <v>35</v>
      </c>
    </row>
    <row r="8" spans="1:7" x14ac:dyDescent="0.3">
      <c r="A8" s="6" t="s">
        <v>5</v>
      </c>
      <c r="B8" s="9">
        <v>15.2</v>
      </c>
      <c r="C8" s="10" t="s">
        <v>20</v>
      </c>
      <c r="D8" s="19">
        <v>48</v>
      </c>
      <c r="E8" s="41">
        <f>D8*B8</f>
        <v>729.59999999999991</v>
      </c>
      <c r="F8" s="46">
        <f>0.5*D8</f>
        <v>24</v>
      </c>
      <c r="G8" s="43">
        <f>E8+F8</f>
        <v>753.59999999999991</v>
      </c>
    </row>
    <row r="9" spans="1:7" x14ac:dyDescent="0.3">
      <c r="A9" s="6" t="s">
        <v>6</v>
      </c>
      <c r="B9" s="8">
        <v>40.99</v>
      </c>
      <c r="C9" s="11" t="s">
        <v>16</v>
      </c>
      <c r="D9" s="19">
        <v>2</v>
      </c>
      <c r="E9" s="41">
        <f t="shared" ref="E9:E13" si="0">D9*B9</f>
        <v>81.98</v>
      </c>
      <c r="F9" s="46">
        <v>0</v>
      </c>
      <c r="G9" s="43">
        <f t="shared" ref="G9:G13" si="1">E9+F9</f>
        <v>81.98</v>
      </c>
    </row>
    <row r="10" spans="1:7" x14ac:dyDescent="0.3">
      <c r="A10" s="6" t="s">
        <v>7</v>
      </c>
      <c r="B10" s="8">
        <v>29.95</v>
      </c>
      <c r="C10" s="12">
        <v>5</v>
      </c>
      <c r="D10" s="19">
        <v>16</v>
      </c>
      <c r="E10" s="41">
        <f t="shared" si="0"/>
        <v>479.2</v>
      </c>
      <c r="F10" s="46">
        <f>C10</f>
        <v>5</v>
      </c>
      <c r="G10" s="43">
        <f t="shared" si="1"/>
        <v>484.2</v>
      </c>
    </row>
    <row r="11" spans="1:7" x14ac:dyDescent="0.3">
      <c r="A11" s="6" t="s">
        <v>8</v>
      </c>
      <c r="B11" s="8">
        <v>12.05</v>
      </c>
      <c r="C11" s="13" t="s">
        <v>21</v>
      </c>
      <c r="D11" s="19">
        <v>59</v>
      </c>
      <c r="E11" s="41">
        <f t="shared" si="0"/>
        <v>710.95</v>
      </c>
      <c r="F11" s="46">
        <f>0.15*D11</f>
        <v>8.85</v>
      </c>
      <c r="G11" s="43">
        <f t="shared" si="1"/>
        <v>719.80000000000007</v>
      </c>
    </row>
    <row r="12" spans="1:7" x14ac:dyDescent="0.3">
      <c r="A12" s="6" t="s">
        <v>9</v>
      </c>
      <c r="B12" s="8">
        <v>298.64999999999998</v>
      </c>
      <c r="C12" s="11" t="s">
        <v>14</v>
      </c>
      <c r="D12" s="19">
        <v>1</v>
      </c>
      <c r="E12" s="41">
        <f t="shared" si="0"/>
        <v>298.64999999999998</v>
      </c>
      <c r="F12" s="46">
        <f>10*D12</f>
        <v>10</v>
      </c>
      <c r="G12" s="43">
        <f t="shared" si="1"/>
        <v>308.64999999999998</v>
      </c>
    </row>
    <row r="13" spans="1:7" ht="15" thickBot="1" x14ac:dyDescent="0.35">
      <c r="A13" s="7" t="s">
        <v>10</v>
      </c>
      <c r="B13" s="14">
        <v>19.95</v>
      </c>
      <c r="C13" s="15" t="s">
        <v>15</v>
      </c>
      <c r="D13" s="22">
        <v>32</v>
      </c>
      <c r="E13" s="42">
        <f t="shared" si="0"/>
        <v>638.4</v>
      </c>
      <c r="F13" s="47">
        <f>0.15*D13</f>
        <v>4.8</v>
      </c>
      <c r="G13" s="44">
        <f t="shared" si="1"/>
        <v>643.19999999999993</v>
      </c>
    </row>
    <row r="15" spans="1:7" ht="15" thickBot="1" x14ac:dyDescent="0.35"/>
    <row r="16" spans="1:7" x14ac:dyDescent="0.3">
      <c r="A16" s="2" t="s">
        <v>17</v>
      </c>
      <c r="B16" s="20">
        <f>SUM(D8:D13)</f>
        <v>158</v>
      </c>
    </row>
    <row r="17" spans="1:2" ht="15" thickBot="1" x14ac:dyDescent="0.35">
      <c r="A17" s="3" t="s">
        <v>13</v>
      </c>
      <c r="B17" s="4">
        <f>SUM(G8:G13)</f>
        <v>2991.43</v>
      </c>
    </row>
    <row r="1048550" spans="16384:16384" x14ac:dyDescent="0.3">
      <c r="XFD1048550" t="e" cm="1" vm="1">
        <f t="array" aca="1" ref="XFD1048550" ca="1">ROW(INDEX(solver_adj,0,0,1))</f>
        <v>#VALUE!</v>
      </c>
    </row>
    <row r="1048551" spans="16384:16384" x14ac:dyDescent="0.3">
      <c r="XFD1048551" cm="1">
        <f t="array" ref="XFD1048551">COLUMN(INDEX(solver_adj,0,0,1))</f>
        <v>4</v>
      </c>
    </row>
    <row r="1048552" spans="16384:16384" x14ac:dyDescent="0.3">
      <c r="XFD1048552">
        <f>ROWS(INDEX(solver_adj,0,0,1))</f>
        <v>6</v>
      </c>
    </row>
    <row r="1048553" spans="16384:16384" x14ac:dyDescent="0.3">
      <c r="XFD1048553">
        <f>COLUMNS(INDEX(solver_adj,0,0,1))</f>
        <v>1</v>
      </c>
    </row>
    <row r="1048554" spans="16384:16384" x14ac:dyDescent="0.3">
      <c r="XFD1048554">
        <f>solver_eng</f>
        <v>2</v>
      </c>
    </row>
    <row r="1048555" spans="16384:16384" x14ac:dyDescent="0.3">
      <c r="XFD1048555">
        <f>solver_val</f>
        <v>0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B52F8736-F517-43BA-8AC7-477A50117DB2}">
          <xm:f>'Q1'!1:1048576</xm:f>
        </x15:webExtension>
        <x15:webExtension appRef="{6DD1CB54-1012-42CA-BD1D-19061C61C079}">
          <xm:f>'Q1'!XFD1048550:XFD1048575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1AED-EB90-4F77-B520-97C4C18CC793}">
  <dimension ref="A2:G17"/>
  <sheetViews>
    <sheetView workbookViewId="0">
      <selection activeCell="G8" sqref="G8"/>
    </sheetView>
  </sheetViews>
  <sheetFormatPr defaultRowHeight="14.4" x14ac:dyDescent="0.3"/>
  <cols>
    <col min="1" max="1" width="19.88671875" bestFit="1" customWidth="1"/>
    <col min="2" max="2" width="12.21875" customWidth="1"/>
    <col min="3" max="3" width="14.21875" bestFit="1" customWidth="1"/>
    <col min="4" max="4" width="8" bestFit="1" customWidth="1"/>
    <col min="5" max="5" width="14.21875" bestFit="1" customWidth="1"/>
    <col min="6" max="6" width="12.109375" bestFit="1" customWidth="1"/>
    <col min="7" max="7" width="14.109375" bestFit="1" customWidth="1"/>
    <col min="8" max="8" width="12.109375" bestFit="1" customWidth="1"/>
    <col min="9" max="9" width="9.21875" bestFit="1" customWidth="1"/>
  </cols>
  <sheetData>
    <row r="2" spans="1:7" x14ac:dyDescent="0.3">
      <c r="A2" s="1" t="s">
        <v>0</v>
      </c>
      <c r="B2" t="s">
        <v>3</v>
      </c>
    </row>
    <row r="3" spans="1:7" x14ac:dyDescent="0.3">
      <c r="A3" s="1" t="s">
        <v>1</v>
      </c>
      <c r="B3" t="s">
        <v>22</v>
      </c>
    </row>
    <row r="4" spans="1:7" x14ac:dyDescent="0.3">
      <c r="A4" s="1" t="s">
        <v>2</v>
      </c>
      <c r="B4" t="s">
        <v>31</v>
      </c>
    </row>
    <row r="5" spans="1:7" x14ac:dyDescent="0.3">
      <c r="A5" s="1" t="s">
        <v>29</v>
      </c>
      <c r="B5" t="s">
        <v>30</v>
      </c>
    </row>
    <row r="6" spans="1:7" ht="15" thickBot="1" x14ac:dyDescent="0.35"/>
    <row r="7" spans="1:7" ht="15" thickBot="1" x14ac:dyDescent="0.35">
      <c r="A7" s="5" t="s">
        <v>4</v>
      </c>
      <c r="B7" s="16" t="s">
        <v>11</v>
      </c>
      <c r="C7" s="17" t="s">
        <v>12</v>
      </c>
      <c r="D7" s="48" t="s">
        <v>18</v>
      </c>
      <c r="E7" s="45" t="s">
        <v>28</v>
      </c>
      <c r="F7" s="39" t="s">
        <v>19</v>
      </c>
      <c r="G7" s="40" t="s">
        <v>34</v>
      </c>
    </row>
    <row r="8" spans="1:7" x14ac:dyDescent="0.3">
      <c r="A8" s="6" t="s">
        <v>5</v>
      </c>
      <c r="B8" s="9">
        <v>15.2</v>
      </c>
      <c r="C8" s="10" t="s">
        <v>20</v>
      </c>
      <c r="D8" s="18">
        <v>32</v>
      </c>
      <c r="E8" s="41">
        <f>D8*B8</f>
        <v>486.4</v>
      </c>
      <c r="F8" s="46">
        <f>0.5*D8</f>
        <v>16</v>
      </c>
      <c r="G8" s="43">
        <f>E8+F8</f>
        <v>502.4</v>
      </c>
    </row>
    <row r="9" spans="1:7" x14ac:dyDescent="0.3">
      <c r="A9" s="6" t="s">
        <v>6</v>
      </c>
      <c r="B9" s="8">
        <v>40.99</v>
      </c>
      <c r="C9" s="11" t="s">
        <v>16</v>
      </c>
      <c r="D9" s="18">
        <v>2</v>
      </c>
      <c r="E9" s="41">
        <f t="shared" ref="E9:E13" si="0">D9*B9</f>
        <v>81.98</v>
      </c>
      <c r="F9" s="46">
        <v>0</v>
      </c>
      <c r="G9" s="43">
        <f t="shared" ref="G9:G13" si="1">E9+F9</f>
        <v>81.98</v>
      </c>
    </row>
    <row r="10" spans="1:7" x14ac:dyDescent="0.3">
      <c r="A10" s="6" t="s">
        <v>7</v>
      </c>
      <c r="B10" s="8">
        <v>29.95</v>
      </c>
      <c r="C10" s="12">
        <v>5</v>
      </c>
      <c r="D10" s="18">
        <v>16</v>
      </c>
      <c r="E10" s="41">
        <f t="shared" si="0"/>
        <v>479.2</v>
      </c>
      <c r="F10" s="46">
        <f>C10</f>
        <v>5</v>
      </c>
      <c r="G10" s="43">
        <f t="shared" si="1"/>
        <v>484.2</v>
      </c>
    </row>
    <row r="11" spans="1:7" x14ac:dyDescent="0.3">
      <c r="A11" s="6" t="s">
        <v>8</v>
      </c>
      <c r="B11" s="8">
        <v>12.05</v>
      </c>
      <c r="C11" s="13" t="s">
        <v>21</v>
      </c>
      <c r="D11" s="18">
        <v>59</v>
      </c>
      <c r="E11" s="41">
        <f t="shared" si="0"/>
        <v>710.95</v>
      </c>
      <c r="F11" s="46">
        <f>0.15*D11</f>
        <v>8.85</v>
      </c>
      <c r="G11" s="43">
        <f t="shared" si="1"/>
        <v>719.80000000000007</v>
      </c>
    </row>
    <row r="12" spans="1:7" x14ac:dyDescent="0.3">
      <c r="A12" s="6" t="s">
        <v>9</v>
      </c>
      <c r="B12" s="8">
        <v>298.64999999999998</v>
      </c>
      <c r="C12" s="11" t="s">
        <v>14</v>
      </c>
      <c r="D12" s="18">
        <v>1</v>
      </c>
      <c r="E12" s="41">
        <f t="shared" si="0"/>
        <v>298.64999999999998</v>
      </c>
      <c r="F12" s="46">
        <f>10*D12</f>
        <v>10</v>
      </c>
      <c r="G12" s="43">
        <f t="shared" si="1"/>
        <v>308.64999999999998</v>
      </c>
    </row>
    <row r="13" spans="1:7" ht="15" thickBot="1" x14ac:dyDescent="0.35">
      <c r="A13" s="7" t="s">
        <v>10</v>
      </c>
      <c r="B13" s="14">
        <v>19.95</v>
      </c>
      <c r="C13" s="15" t="s">
        <v>15</v>
      </c>
      <c r="D13" s="21">
        <v>20</v>
      </c>
      <c r="E13" s="42">
        <f t="shared" si="0"/>
        <v>399</v>
      </c>
      <c r="F13" s="47">
        <f>0.15*D13</f>
        <v>3</v>
      </c>
      <c r="G13" s="44">
        <f t="shared" si="1"/>
        <v>402</v>
      </c>
    </row>
    <row r="15" spans="1:7" ht="15" thickBot="1" x14ac:dyDescent="0.35"/>
    <row r="16" spans="1:7" x14ac:dyDescent="0.3">
      <c r="A16" s="2" t="s">
        <v>17</v>
      </c>
      <c r="B16" s="20">
        <f>SUM(D8:D13)</f>
        <v>130</v>
      </c>
    </row>
    <row r="17" spans="1:2" ht="15" thickBot="1" x14ac:dyDescent="0.35">
      <c r="A17" s="3" t="s">
        <v>13</v>
      </c>
      <c r="B17" s="4">
        <f>SUM(G8:G13)</f>
        <v>2499.0300000000002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52F-9DBD-467C-80F9-FAD33A66BB7D}">
  <dimension ref="A2:G17"/>
  <sheetViews>
    <sheetView topLeftCell="A5" workbookViewId="0">
      <selection activeCell="G8" sqref="G8"/>
    </sheetView>
  </sheetViews>
  <sheetFormatPr defaultRowHeight="14.4" x14ac:dyDescent="0.3"/>
  <cols>
    <col min="1" max="1" width="19.88671875" bestFit="1" customWidth="1"/>
    <col min="2" max="2" width="12.21875" customWidth="1"/>
    <col min="3" max="3" width="14.21875" bestFit="1" customWidth="1"/>
    <col min="4" max="4" width="8" bestFit="1" customWidth="1"/>
    <col min="5" max="5" width="14.21875" bestFit="1" customWidth="1"/>
    <col min="6" max="6" width="17.5546875" bestFit="1" customWidth="1"/>
    <col min="7" max="7" width="14.109375" bestFit="1" customWidth="1"/>
    <col min="8" max="8" width="12.109375" bestFit="1" customWidth="1"/>
    <col min="9" max="9" width="9.21875" bestFit="1" customWidth="1"/>
  </cols>
  <sheetData>
    <row r="2" spans="1:7" x14ac:dyDescent="0.3">
      <c r="A2" s="1" t="s">
        <v>0</v>
      </c>
      <c r="B2" t="s">
        <v>3</v>
      </c>
    </row>
    <row r="3" spans="1:7" x14ac:dyDescent="0.3">
      <c r="A3" s="1" t="s">
        <v>1</v>
      </c>
      <c r="B3" t="s">
        <v>22</v>
      </c>
    </row>
    <row r="4" spans="1:7" x14ac:dyDescent="0.3">
      <c r="A4" s="1" t="s">
        <v>2</v>
      </c>
      <c r="B4" t="s">
        <v>33</v>
      </c>
    </row>
    <row r="5" spans="1:7" x14ac:dyDescent="0.3">
      <c r="A5" s="1" t="s">
        <v>29</v>
      </c>
      <c r="B5" t="s">
        <v>30</v>
      </c>
    </row>
    <row r="6" spans="1:7" ht="15" thickBot="1" x14ac:dyDescent="0.35"/>
    <row r="7" spans="1:7" ht="15" thickBot="1" x14ac:dyDescent="0.35">
      <c r="A7" s="5" t="s">
        <v>4</v>
      </c>
      <c r="B7" s="16" t="s">
        <v>11</v>
      </c>
      <c r="C7" s="17" t="s">
        <v>12</v>
      </c>
      <c r="D7" s="5" t="s">
        <v>18</v>
      </c>
      <c r="E7" s="45" t="s">
        <v>28</v>
      </c>
      <c r="F7" s="39" t="s">
        <v>19</v>
      </c>
      <c r="G7" s="40" t="s">
        <v>34</v>
      </c>
    </row>
    <row r="8" spans="1:7" x14ac:dyDescent="0.3">
      <c r="A8" s="6" t="s">
        <v>5</v>
      </c>
      <c r="B8" s="9">
        <v>15.2</v>
      </c>
      <c r="C8" s="10" t="s">
        <v>20</v>
      </c>
      <c r="D8" s="19">
        <v>32</v>
      </c>
      <c r="E8" s="41">
        <f>D8*B8</f>
        <v>486.4</v>
      </c>
      <c r="F8" s="46">
        <f>0.5*D8</f>
        <v>16</v>
      </c>
      <c r="G8" s="43">
        <f>E8+F8</f>
        <v>502.4</v>
      </c>
    </row>
    <row r="9" spans="1:7" x14ac:dyDescent="0.3">
      <c r="A9" s="6" t="s">
        <v>6</v>
      </c>
      <c r="B9" s="8">
        <v>40.99</v>
      </c>
      <c r="C9" s="11" t="s">
        <v>16</v>
      </c>
      <c r="D9" s="19">
        <v>2</v>
      </c>
      <c r="E9" s="41">
        <f t="shared" ref="E9:E13" si="0">D9*B9</f>
        <v>81.98</v>
      </c>
      <c r="F9" s="46">
        <v>0</v>
      </c>
      <c r="G9" s="43">
        <f t="shared" ref="G9:G13" si="1">E9+F9</f>
        <v>81.98</v>
      </c>
    </row>
    <row r="10" spans="1:7" x14ac:dyDescent="0.3">
      <c r="A10" s="6" t="s">
        <v>7</v>
      </c>
      <c r="B10" s="8">
        <v>29.95</v>
      </c>
      <c r="C10" s="12">
        <v>5</v>
      </c>
      <c r="D10" s="19">
        <v>16</v>
      </c>
      <c r="E10" s="41">
        <f t="shared" si="0"/>
        <v>479.2</v>
      </c>
      <c r="F10" s="46">
        <f>C10</f>
        <v>5</v>
      </c>
      <c r="G10" s="43">
        <f t="shared" si="1"/>
        <v>484.2</v>
      </c>
    </row>
    <row r="11" spans="1:7" x14ac:dyDescent="0.3">
      <c r="A11" s="6" t="s">
        <v>8</v>
      </c>
      <c r="B11" s="8">
        <v>12.05</v>
      </c>
      <c r="C11" s="13" t="s">
        <v>21</v>
      </c>
      <c r="D11" s="19">
        <v>34</v>
      </c>
      <c r="E11" s="41">
        <f t="shared" si="0"/>
        <v>409.70000000000005</v>
      </c>
      <c r="F11" s="46">
        <f>0.15*D11</f>
        <v>5.0999999999999996</v>
      </c>
      <c r="G11" s="43">
        <f t="shared" si="1"/>
        <v>414.80000000000007</v>
      </c>
    </row>
    <row r="12" spans="1:7" x14ac:dyDescent="0.3">
      <c r="A12" s="6" t="s">
        <v>9</v>
      </c>
      <c r="B12" s="8">
        <v>298.64999999999998</v>
      </c>
      <c r="C12" s="11" t="s">
        <v>14</v>
      </c>
      <c r="D12" s="19">
        <v>1</v>
      </c>
      <c r="E12" s="41">
        <f t="shared" si="0"/>
        <v>298.64999999999998</v>
      </c>
      <c r="F12" s="46">
        <f>10*D12</f>
        <v>10</v>
      </c>
      <c r="G12" s="43">
        <f t="shared" si="1"/>
        <v>308.64999999999998</v>
      </c>
    </row>
    <row r="13" spans="1:7" ht="15" thickBot="1" x14ac:dyDescent="0.35">
      <c r="A13" s="7" t="s">
        <v>10</v>
      </c>
      <c r="B13" s="14">
        <v>19.95</v>
      </c>
      <c r="C13" s="15" t="s">
        <v>15</v>
      </c>
      <c r="D13" s="22">
        <v>20</v>
      </c>
      <c r="E13" s="42">
        <f t="shared" si="0"/>
        <v>399</v>
      </c>
      <c r="F13" s="47">
        <f>0.15*D13</f>
        <v>3</v>
      </c>
      <c r="G13" s="44">
        <f t="shared" si="1"/>
        <v>402</v>
      </c>
    </row>
    <row r="15" spans="1:7" ht="15" thickBot="1" x14ac:dyDescent="0.35"/>
    <row r="16" spans="1:7" x14ac:dyDescent="0.3">
      <c r="A16" s="2" t="s">
        <v>17</v>
      </c>
      <c r="B16" s="20">
        <f>SUM(D8:D13)</f>
        <v>105</v>
      </c>
    </row>
    <row r="17" spans="1:2" ht="15" thickBot="1" x14ac:dyDescent="0.35">
      <c r="A17" s="3" t="s">
        <v>13</v>
      </c>
      <c r="B17" s="4">
        <f>SUM(G8:G13)</f>
        <v>2194.0300000000002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Epstein</dc:creator>
  <cp:lastModifiedBy>matthew kulynych</cp:lastModifiedBy>
  <dcterms:created xsi:type="dcterms:W3CDTF">2021-08-06T00:56:04Z</dcterms:created>
  <dcterms:modified xsi:type="dcterms:W3CDTF">2025-12-03T14:53:54Z</dcterms:modified>
</cp:coreProperties>
</file>